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ecision register" sheetId="2" state="visible" r:id="rId4"/>
  </sheets>
  <definedNames>
    <definedName function="false" hidden="true" localSheetId="1" name="_xlnm._FilterDatabase" vbProcedure="false">'Decision register'!$A$4:$I$117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<sst xmlns="http://schemas.openxmlformats.org/spreadsheetml/2006/main" count="887" uniqueCount="315">
  <si>
    <t xml:space="preserve">Summary</t>
  </si>
  <si>
    <t xml:space="preserve">Decision</t>
  </si>
  <si>
    <t xml:space="preserve">Checks</t>
  </si>
  <si>
    <t xml:space="preserve">Fix</t>
  </si>
  <si>
    <t xml:space="preserve">Accept risk</t>
  </si>
  <si>
    <t xml:space="preserve">Investigate</t>
  </si>
  <si>
    <t xml:space="preserve">Total failed checks</t>
  </si>
  <si>
    <t xml:space="preserve">Phase (fixes and investigations)</t>
  </si>
  <si>
    <t xml:space="preserve">Done</t>
  </si>
  <si>
    <t xml:space="preserve">1 Quick wins</t>
  </si>
  <si>
    <t xml:space="preserve">2 SSH hardening</t>
  </si>
  <si>
    <t xml:space="preserve">3 Auditing and MAC</t>
  </si>
  <si>
    <t xml:space="preserve">4 Passwords and PAM</t>
  </si>
  <si>
    <t xml:space="preserve">5 Firewall</t>
  </si>
  <si>
    <t xml:space="preserve">Scan baseline</t>
  </si>
  <si>
    <t xml:space="preserve">Before</t>
  </si>
  <si>
    <t xml:space="preserve">Phase 1</t>
  </si>
  <si>
    <t xml:space="preserve">Phase 2</t>
  </si>
  <si>
    <t xml:space="preserve">Phase 3</t>
  </si>
  <si>
    <t xml:space="preserve">Phase 4</t>
  </si>
  <si>
    <t xml:space="preserve">Tuning</t>
  </si>
  <si>
    <t xml:space="preserve">Final</t>
  </si>
  <si>
    <t xml:space="preserve">Passed</t>
  </si>
  <si>
    <t xml:space="preserve">Failed</t>
  </si>
  <si>
    <t xml:space="preserve">Not applicable</t>
  </si>
  <si>
    <t xml:space="preserve">Score (passed / (passed + failed))</t>
  </si>
  <si>
    <t xml:space="preserve">Source: Wazuh dashboard, CIS Debian Linux 12 Benchmark v1.1.0. Scans of 12 Oct 2026 (before, phases 1 to 3) and 13 Oct 2026 (phase 4, tuning, final).</t>
  </si>
  <si>
    <t xml:space="preserve">Notes</t>
  </si>
  <si>
    <t xml:space="preserve">Do not aim for 100%. Accepted risks are documented with a reason, which is what an auditor expects.</t>
  </si>
  <si>
    <t xml:space="preserve">OpenVPN needs IP forwarding, so any forwarding hardening must keep it enabled. No failed check asks for this today.</t>
  </si>
  <si>
    <t xml:space="preserve">Order of work: phases 1 to 5. Take a VM or config backup and keep a second SSH session open for phases 2, 4 and 5.</t>
  </si>
  <si>
    <t xml:space="preserve">CIS Debian 12 Benchmark v1.1.0: decision register (host: vpnserver)</t>
  </si>
  <si>
    <t xml:space="preserve">Source: Wazuh SCA scan, 12 Oct 2026, 107 failed of 207 checks. Check 33094 was added after the phase 1 scan. Status reflects the final scan of 13 Oct 2026; final scan 13 Oct 2026 16:26: 136 passed, 60 failed, 69%. Decision, phase and justification are my own assessment. Edit the yellow columns (Status, Date done) as you work.</t>
  </si>
  <si>
    <t xml:space="preserve">ID</t>
  </si>
  <si>
    <t xml:space="preserve">Title</t>
  </si>
  <si>
    <t xml:space="preserve">Phase</t>
  </si>
  <si>
    <t xml:space="preserve">Lockout risk</t>
  </si>
  <si>
    <t xml:space="preserve">Justification</t>
  </si>
  <si>
    <t xml:space="preserve">CIS remediation (from scan)</t>
  </si>
  <si>
    <t xml:space="preserve">Status</t>
  </si>
  <si>
    <t xml:space="preserve">Date done</t>
  </si>
  <si>
    <t xml:space="preserve">Ensure noexec option set on /dev/shm partition.</t>
  </si>
  <si>
    <t xml:space="preserve">Low</t>
  </si>
  <si>
    <t xml:space="preserve">Add noexec to /dev/shm in /etc/fstab. Remount and confirm nothing on the server needs executables there.</t>
  </si>
  <si>
    <t xml:space="preserve">-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t>
  </si>
  <si>
    <t xml:space="preserve">2026-10-12</t>
  </si>
  <si>
    <t xml:space="preserve">Ensure message of the day is configured properly.</t>
  </si>
  <si>
    <t xml:space="preserve">Set a legal warning banner (/etc/issue, /etc/issue.net, MOTD) and point sshd Banner to it.</t>
  </si>
  <si>
    <t xml:space="preserve">Edit the /etc/motd file with the appropriate contents according to your site policy, remove any instances of \m , \r , \s , \v or references to the OS platform - OR - - IF - the motd is not used, this file can be removed. Run the following command to remove the motd file: # rm /etc/motd.</t>
  </si>
  <si>
    <t xml:space="preserve">Ensure local login warning banner is configured properly.</t>
  </si>
  <si>
    <t xml:space="preserve">Edit the /etc/issue file with the appropriate contents according to your site policy, remove any instances of \m , \r , \s , \v or references to the OS platform Example: # echo "Authorized users only. All activity may be monitored and reported." &gt; /etc/issue.</t>
  </si>
  <si>
    <t xml:space="preserve">Ensure remote login warning banner is configured properly.</t>
  </si>
  <si>
    <t xml:space="preserve">Edit the /etc/issue.net file with the appropriate contents according to your site policy, remove any instances of \m , \r , \s , \v or references to the OS platform Example: # echo "Authorized users only. All activity may be monitored and reported." &gt; /etc/issue.net.</t>
  </si>
  <si>
    <t xml:space="preserve">Ensure telnet client is not installed.</t>
  </si>
  <si>
    <t xml:space="preserve">Remove the telnet client (apt purge telnet). It is unencrypted and not needed.</t>
  </si>
  <si>
    <t xml:space="preserve">Run the following commands to uninstall telnet &amp; inetutils-telnet: # apt purge telnet # apt purge inetutils-telnet.</t>
  </si>
  <si>
    <t xml:space="preserve">Ensure chrony is running as user _chrony.</t>
  </si>
  <si>
    <t xml:space="preserve">Appeared after chrony replaced systemd-timesyncd. Debian already drops chronyd to the _chrony user; adding 'user _chrony' to chrony.conf makes it explicit.</t>
  </si>
  <si>
    <t xml:space="preserve">Add or edit the user line to /etc/chrony/chrony.conf or a file ending in .conf in /etc/chrony/conf.d/: user _chrony - OR - If another time synchronization service is in use on the system, run the following command to remove chrony from the system: # apt purge chrony # apt autoremove chrony.</t>
  </si>
  <si>
    <t xml:space="preserve">2026-10-13</t>
  </si>
  <si>
    <t xml:space="preserve">Ensure chrony is enabled and running.</t>
  </si>
  <si>
    <t xml:space="preserve">Enable time sync. Accurate clocks keep logs and Wazuh alerts correlated.</t>
  </si>
  <si>
    <t xml:space="preserve">- IF - chrony is in use on the system, run the following commands: Run the following command to unmask chrony.service: # systemctl unmask chrony.service Run the following command to enable and start chrony.service: # systemctl --now enable chrony.service - OR - If another time synchronization service is in use on the system, run the following comma</t>
  </si>
  <si>
    <t xml:space="preserve">Ensure permissions on /etc/crontab are configured.</t>
  </si>
  <si>
    <t xml:space="preserve">Set root ownership and restrictive permissions on cron files (chown/chmod).</t>
  </si>
  <si>
    <t xml:space="preserve">- IF - cron is installed on the system: Run the following commands to set ownership and permissions on /etc/crontab: # chown root:root /etc/crontab # chmod og-rwx /etc/crontab.</t>
  </si>
  <si>
    <t xml:space="preserve">Ensure permissions on /etc/cron.hourly are configured.</t>
  </si>
  <si>
    <t xml:space="preserve">- IF - cron is installed on the system: Run the following commands to set ownership and permissions on the /etc/cron.hourly directory: # chown root:root /etc/cron.hourly/ # chmod og-rwx /etc/cron.hourly/.</t>
  </si>
  <si>
    <t xml:space="preserve">Ensure permissions on /etc/cron.daily are configured.</t>
  </si>
  <si>
    <t xml:space="preserve">- IF - cron is installed on the system: Run the following commands to set ownership and permissions on the /etc/cron.daily directory: # chown root:root /etc/cron.daily/ # chmod og-rwx /etc/cron.daily/.</t>
  </si>
  <si>
    <t xml:space="preserve">Ensure permissions on /etc/cron.weekly are configured.</t>
  </si>
  <si>
    <t xml:space="preserve">- IF - cron is installed on the system: Run the following commands to set ownership and permissions on the /etc/cron.weekly directory: # chown root:root /etc/cron.weekly/ # chmod og-rwx /etc/cron.weekly/.</t>
  </si>
  <si>
    <t xml:space="preserve">Ensure permissions on /etc/cron.monthly are configured.</t>
  </si>
  <si>
    <t xml:space="preserve">- IF - cron is installed on the system: Run the following commands to set ownership and permissions on the /etc/cron.monthly directory: # chown root:root /etc/cron.monthly/ # chmod og-rwx /etc/cron.monthly/.</t>
  </si>
  <si>
    <t xml:space="preserve">Ensure permissions on /etc/cron.d are configured.</t>
  </si>
  <si>
    <t xml:space="preserve">- IF - cron is installed on the system: Run the following commands to set ownership and permissions on the /etc/cron.d directory: # chown root:root /etc/cron.d/ # chmod og-rwx /etc/cron.d/.</t>
  </si>
  <si>
    <t xml:space="preserve">Ensure bluetooth services are not in use.</t>
  </si>
  <si>
    <t xml:space="preserve">Disable and mask bluetooth. A VPN server does not need it.</t>
  </si>
  <si>
    <t xml:space="preserve">Run the following commands to stop bluetooth.service, and remove the bluez package: # systemctl stop bluetooth.service # apt purge bluez - OR - - IF - the bluez package is required as a dependency: Run the following commands to stop and mask bluetooth.service: # systemctl stop bluetooth.service # systemctl mask bluetooth.service Note: A reboot may </t>
  </si>
  <si>
    <t xml:space="preserve">Ensure sshd Banner is configured.</t>
  </si>
  <si>
    <t xml:space="preserve">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t>
  </si>
  <si>
    <t xml:space="preserve">Ensure sudo log file exists.</t>
  </si>
  <si>
    <t xml:space="preserve">Log sudo commands to a file and shorten the sudo timeout.</t>
  </si>
  <si>
    <t xml:space="preserve">Edit the file /etc/sudoers or a file in /etc/sudoers.d/ with visudo or visudo -f &lt;PATH TO FILE&gt; and add the following line: Example: Defaults logfile="/var/log/sudo.log" Note: - sudo will read each file in /etc/sudoers.d, skipping file names that end in ~ or contain a . character to avoid causing problems with package manager or editor temporary/ba</t>
  </si>
  <si>
    <t xml:space="preserve">Ensure access to the su command is restricted.</t>
  </si>
  <si>
    <t xml:space="preserve">Restrict su to a dedicated group. Keep one SSH session open while testing.</t>
  </si>
  <si>
    <t xml:space="preserve">Create an empty group that will be specified for use of the su command. The group should be named according to site policy. Example: # groupadd sugroup Add the following line to the /etc/pam.d/su file, specifying the empty group: auth required pam_wheel.so use_uid group=sugroup.</t>
  </si>
  <si>
    <t xml:space="preserve">Ensure rsyslog is installed.</t>
  </si>
  <si>
    <t xml:space="preserve">Install and enable rsyslog. fail2ban uses journald and is not affected.</t>
  </si>
  <si>
    <t xml:space="preserve">Run the following command to install rsyslog: # apt install rsyslog.</t>
  </si>
  <si>
    <t xml:space="preserve">Ensure rsyslog service is enabled and active.</t>
  </si>
  <si>
    <t xml:space="preserve">- IF - rsyslog is being used for logging on the system: Run the following commands to unmask, enable, and start rsyslog.service: # systemctl unmask rsyslog.service # systemctl enable rsyslog.service # systemctl start rsyslog.service.</t>
  </si>
  <si>
    <t xml:space="preserve">Ensure permissions on /etc/security/opasswd are configured.</t>
  </si>
  <si>
    <t xml:space="preserve">Fix permissions on /etc/security/opasswd.</t>
  </si>
  <si>
    <t xml:space="preserve">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t>
  </si>
  <si>
    <t xml:space="preserve">Ensure sshd access is configured.</t>
  </si>
  <si>
    <t xml:space="preserve">Medium</t>
  </si>
  <si>
    <t xml:space="preserve">Tighten sshd settings (AllowUsers, idle timeout, login grace time, MaxAuthTries, MaxStartups) in a sshd_config.d drop-in. Test with sshd -t and keep a safety session open.</t>
  </si>
  <si>
    <t xml:space="preserve">Edit the /etc/ssh/sshd_config file to set one or more of the parameters above any Include and Match set statements as follows: AllowUsers &lt;userlist&gt; - AND/OR - AllowGroups &lt;grouplist&gt; Note: - First occurrence of an option takes precedence, Match set statements withstanding. If Include locations are enabled, used, and order of precedence is understo</t>
  </si>
  <si>
    <t xml:space="preserve">Ensure sshd ClientAliveInterval and ClientAliveCountMax are configured.</t>
  </si>
  <si>
    <t xml:space="preserve">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t>
  </si>
  <si>
    <t xml:space="preserve">Ensure sshd DisableForwarding is enabled.</t>
  </si>
  <si>
    <t xml:space="preserve">Disable SSH forwarding. OpenVPN does not use it. Confirm you do not rely on SSH tunnels first.</t>
  </si>
  <si>
    <t xml:space="preserve">Edit the /etc/ssh/sshd_config file to set the DisableForwarding parameter to yes above any Include entry as follows: DisableForwarding yes Note: First occurrence of a option takes precedence. If Include locations are enabled, used, and order of precedence is understood in your environment, the entry may be created in a file in Include location.</t>
  </si>
  <si>
    <t xml:space="preserve">Ensure sshd LoginGraceTime is configured.</t>
  </si>
  <si>
    <t xml:space="preserve">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t>
  </si>
  <si>
    <t xml:space="preserve">Ensure sshd MACs are configured.</t>
  </si>
  <si>
    <t xml:space="preserve">Restrict MACs to strong algorithms. Check that Termius on the phone still connects before closing the safety session.</t>
  </si>
  <si>
    <t xml:space="preserve">Edit the /etc/ssh/sshd_config file and add/modify the MACs line to contain a comma separated list of the site unapproved (weak) MACs preceded with a - above any Include entries: Example: MACs -hmac-md5,hmac-md5-96,hmac-ripemd160,hmac-sha1-96,umac- 64@openssh.com,hmac-md5-etm@openssh.com,hmac-md5-96-etm@openssh.com,hmac- ripemd160-etm@openssh.com,hm</t>
  </si>
  <si>
    <t xml:space="preserve">Ensure sshd MaxAuthTries is configured.</t>
  </si>
  <si>
    <t xml:space="preserve">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t>
  </si>
  <si>
    <t xml:space="preserve">Ensure sshd MaxStartups is configured.</t>
  </si>
  <si>
    <t xml:space="preserve">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t>
  </si>
  <si>
    <t xml:space="preserve">Ensure AppArmor is installed.</t>
  </si>
  <si>
    <t xml:space="preserve">Install AppArmor and enable it in the bootloader (needs a reboot). Check OpenVPN still starts afterwards.</t>
  </si>
  <si>
    <t xml:space="preserve">Install AppArmor. # apt install apparmor apparmor-utils.</t>
  </si>
  <si>
    <t xml:space="preserve">Ensure AppArmor is enabled in the bootloader configuration.</t>
  </si>
  <si>
    <t xml:space="preserve">Edit /etc/default/grub and add the apparmor=1 and security=apparmor parameters to the GRUB_CMDLINE_LINUX= line GRUB_CMDLINE_LINUX="apparmor=1 security=apparmor" Run the following command to update the grub2 configuration: # update-grub.</t>
  </si>
  <si>
    <t xml:space="preserve">Ensure auditd packages are installed.</t>
  </si>
  <si>
    <t xml:space="preserve">Install and enable auditd, and raise audit_backlog_limit.</t>
  </si>
  <si>
    <t xml:space="preserve">Run the following command to Install auditd and audispd-plugins # apt install auditd audispd-plugins.</t>
  </si>
  <si>
    <t xml:space="preserve">Ensure auditd service is enabled and active.</t>
  </si>
  <si>
    <t xml:space="preserve">Run the following commands to unmask, enable and start auditd: # systemctl unmask auditd # systemctl enable auditd # systemctl start auditd.</t>
  </si>
  <si>
    <t xml:space="preserve">Ensure changes to system administration scope (sudoers) is collected.</t>
  </si>
  <si>
    <t xml:space="preserve">Apply the CIS audit rules file once auditd is running. Wazuh collects these events.</t>
  </si>
  <si>
    <t xml:space="preserve">Edit or create a file in the /etc/audit/rules.d/ directory, ending in .rules extension, with the relevant rules to monitor scope changes for system administrators. Example: # printf " -w /etc/sudoers -p wa -k scope -w /etc/sudoers.d -p wa -k scope " &gt;&gt; /etc/audit/rules.d/50-scope.rules Merge and load the rules into active configuration: # augenrule</t>
  </si>
  <si>
    <t xml:space="preserve">Ensure events that modify the sudo log file are collected.</t>
  </si>
  <si>
    <t xml:space="preserve">Note: This recommendation requires that the sudo logfile is configured. See guidance provided in the recommendation "Ensure sudo log file exists" Edit or create a file in the /etc/audit/rules.d/ directory, ending in .rules extension, with the relevant rules to monitor events that modify the sudo log file. Example: # { SUDO_LOG_FILE=$(grep -r logfil</t>
  </si>
  <si>
    <t xml:space="preserve">Ensure events that modify date and time information are collected.</t>
  </si>
  <si>
    <t xml:space="preserve">Create audit rules Edit or create a file in the /etc/audit/rules.d/ directory, ending in .rules extension, with the relevant rules to monitor events that modify date and time information. Example: # printf " -a always,exit -F arch=b64 -S adjtimex,settimeofday -k time-change -a always,exit -F arch=b32 -S adjtimex,settimeofday -k time-change -a alway</t>
  </si>
  <si>
    <t xml:space="preserve">Ensure unsuccessful file access attempts are collected.</t>
  </si>
  <si>
    <t xml:space="preserve">Create audit rules Edit or create a file in the /etc/audit/rules.d/ directory, ending in .rules extension, with the relevant rules to monitor unsuccessful file access attempts. Example: # { UID_MIN=$(awk '/^\s*UID_MIN/{print $2}' /etc/login.defs) [ -n "${UID_MIN}" ] &amp;&amp; printf " -a always,exit -F arch=b64 -S creat,open,openat,truncate,ftruncate -F e</t>
  </si>
  <si>
    <t xml:space="preserve">Ensure events that modify user/group information are collected.</t>
  </si>
  <si>
    <t xml:space="preserve">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t>
  </si>
  <si>
    <t xml:space="preserve">Ensure discretionary access control permission modification events are collected.</t>
  </si>
  <si>
    <t xml:space="preserve">Create audit rules Edit or create a file in the /etc/audit/rules.d/ directory, ending in .rules extension, with the relevant rules to monitor discretionary access control permission modification events. Example: # { UID_MIN=$(awk '/^\s*UID_MIN/{print $2}' /etc/login.defs) [ -n "${UID_MIN}" ] &amp;&amp; printf " -a always,exit -F arch=b64 -S chmod,fchmod,fc</t>
  </si>
  <si>
    <t xml:space="preserve">Ensure successful file system mounts are collected.</t>
  </si>
  <si>
    <t xml:space="preserve">Create audit rules Edit or create a file in the /etc/audit/rules.d/ directory, ending in .rules extension, with the relevant rules to monitor successful file system mounts. Example: # { UID_MIN=$(awk '/^\s*UID_MIN/{print $2}' /etc/login.defs) [ -n "${UID_MIN}" ] &amp;&amp; printf " -a always,exit -F arch=b32 -S mount -F auid&gt;=$UID_MIN -F auid!=unset -k mou</t>
  </si>
  <si>
    <t xml:space="preserve">Ensure session initiation information is collected.</t>
  </si>
  <si>
    <t xml:space="preserve">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
  </si>
  <si>
    <t xml:space="preserve">Ensure login and logout events are collected.</t>
  </si>
  <si>
    <t xml:space="preserve">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t>
  </si>
  <si>
    <t xml:space="preserve">Ensure file deletion events by users are collected.</t>
  </si>
  <si>
    <t xml:space="preserve">Create audit rules Edit or create a file in the /etc/audit/rules.d/ directory, ending in .rules extension, with the relevant rules to monitor file deletion events by users. Example: # { UID_MIN=$(awk '/^\s*UID_MIN/{print $2}' /etc/login.defs) [ -n "${UID_MIN}" ] &amp;&amp; printf " -a always,exit -F arch=b64 -S rename,unlink,unlinkat,renameat -F auid&gt;=${UI</t>
  </si>
  <si>
    <t xml:space="preserve">Ensure kernel module loading unloading and modification is collected.</t>
  </si>
  <si>
    <t xml:space="preserve">Create audit rules Edit or create a file in the /etc/audit/rules.d/ directory, ending in .rules extension, with the relevant rules to monitor kernel module modification. Example: #!/usr/bin/env bash { UID_MIN=$(awk '/^\s*UID_MIN/{print $2}' /etc/login.defs) [ -n "${UID_MIN}" ] &amp;&amp; printf " -a always,exit -F arch=b64 -S init_module,finit_module,delet</t>
  </si>
  <si>
    <t xml:space="preserve">Ensure libpam-pwquality is installed.</t>
  </si>
  <si>
    <t xml:space="preserve">High</t>
  </si>
  <si>
    <t xml:space="preserve">Edit PAM carefully. SSH is key-only but sudo still uses the password, so a bad PAM or faillock change can lock out sudo. Keep a root console (VMware/physical) available and back up /etc/pam.d first.</t>
  </si>
  <si>
    <t xml:space="preserve">Run the following command to install libpam-pwquality: # apt install libpam-pwquality.</t>
  </si>
  <si>
    <t xml:space="preserve">Ensure pam_faillock module is enabled.</t>
  </si>
  <si>
    <t xml:space="preserve">Create two pam-auth-update profiles in /usr/share/pam-configs/: 1. Create the faillock profile in /usr/share/pam-configs/ with the following lines: Name: Enable pam_faillock to deny access Default: yes Priority: 0 Auth-Type: Primary Auth: [default=die] pam_faillock.so authfail Example Script: #!/usr/bin/env bash { arr=('Name: Enable pam_faillock to</t>
  </si>
  <si>
    <t xml:space="preserve">Ensure pam_pwhistory module is enabled.</t>
  </si>
  <si>
    <t xml:space="preserve">Run the following script to verify the pam_pwquality.so line exists in a pam-auth- update profile: # grep -P -- '\bpam_pwhistory\.so\b' /usr/share/pam-configs/* Output should be similar to: /usr/share/pam-configs/pwhistory: requisite pam_pwhistory.so remember=24 enforce_for_root try_first_pass use_authtok - IF - similar output is returned: Run the </t>
  </si>
  <si>
    <t xml:space="preserve">Ensure password history remember is configured.</t>
  </si>
  <si>
    <t xml:space="preserve">Run the following command: # awk '/Password-Type:/{ f = 1;next } /-Type:/{ f = 0 } f {if (/pam_pwhistory\.so/) print FILENAME}' /usr/share/pam-configs/* Edit any returned files and edit or add the remember= argument, with a value of 24 or more, that meets local site policy to the pam_pwhistory line in the Password section: Example File: Name: pwhis</t>
  </si>
  <si>
    <t xml:space="preserve">Ensure pam_unix does not include nullok.</t>
  </si>
  <si>
    <t xml:space="preserve">Run the following command: # grep -PH -- '^\h*([^#\n\r]+\h+)?pam_unix\.so\h+([^#\n\r]+\h+)?nullok\b' /usr/share/pam-configs/* Edit any files returned and remove the nullok argument for the pam_unix lines Example File: Name: Unix authentication Default: yes Priority: 256 Auth-Type: Primary Auth: [success=end default=ignore] pam_unix.so try_first_pas</t>
  </si>
  <si>
    <t xml:space="preserve">Ensure pam_unix includes use_authtok.</t>
  </si>
  <si>
    <t xml:space="preserve">Run the following command: # awk '/Password-Type:/{ f = 1;next } /-Type:/{ f = 0 } f {if (/pam_unix\.so/) print FILENAME}' /usr/share/pam-configs/* Edit any returned files add use_authtok to the pam_unix line in the Password section under Password: subsection: Note: The if the file's Password section includes a Password-Initial: subsection, use_aut</t>
  </si>
  <si>
    <t xml:space="preserve">Ensure password expiration is configured.</t>
  </si>
  <si>
    <t xml:space="preserve">Set password aging and inactivity lock in /etc/login.defs and for existing users (chage).</t>
  </si>
  <si>
    <t xml:space="preserve">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t>
  </si>
  <si>
    <t xml:space="preserve">Ensure minimum password days is configured.</t>
  </si>
  <si>
    <t xml:space="preserve">Edit /etc/login.defs and set PASS_MIN_DAYS to a value greater than 0 that follows local site policy: Example: PASS_MIN_DAYS 1 Run the following command to modify user parameters for all users with a password set to a minimum days greater than zero that follows local site policy: # chage --mindays &lt;N&gt; &lt;user&gt; Example: # awk -F: '($2~/^\$.+\$/) {if($4</t>
  </si>
  <si>
    <t xml:space="preserve">Ensure password expiration warning days is configured.</t>
  </si>
  <si>
    <t xml:space="preserve">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t>
  </si>
  <si>
    <t xml:space="preserve">Ensure strong password hashing algorithm is configured.</t>
  </si>
  <si>
    <t xml:space="preserve">Debian 12 uses yescrypt by default. Check why the scan fails (likely the config line is missing) before changing anything.</t>
  </si>
  <si>
    <t xml:space="preserve">Edit /etc/login.defs and set the ENCRYPT_METHOD to SHA512 or YESCRYPT: ENCRYPT_METHOD &lt;HASHING_ALGORITHM&gt; Example: ENCRYPT_METHOD YESCRYPT Note: - This only effects local groups' passwords created after updating the file to use - - sha512 or yescrypt. If it is determined that the password algorithm being used is not sha512 or yescrypt, once it is c</t>
  </si>
  <si>
    <t xml:space="preserve">Ensure inactive password lock is configured.</t>
  </si>
  <si>
    <t xml:space="preserve">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t>
  </si>
  <si>
    <t xml:space="preserve">Ensure /tmp is a separate partition.</t>
  </si>
  <si>
    <t xml:space="preserve">None</t>
  </si>
  <si>
    <t xml:space="preserve">Single-partition layout on a small VPN server; repartitioning gives little benefit and risks data loss.</t>
  </si>
  <si>
    <t xml:space="preserve">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0 tmpfs defaults,rw,nosuid,nodev,noexec,relatime,size=2G 0 </t>
  </si>
  <si>
    <t xml:space="preserve">Documented</t>
  </si>
  <si>
    <t xml:space="preserve">Ensure nodev option set on /tmp partition.</t>
  </si>
  <si>
    <t xml:space="preserve">-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</si>
  <si>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 xml:space="preserve">Ensure nosuid option set on /tmp partition.</t>
  </si>
  <si>
    <t xml:space="preserve">-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</si>
  <si>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 xml:space="preserve">Ensure noexec option set on /tmp partition.</t>
  </si>
  <si>
    <t xml:space="preserve">-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</si>
  <si>
    <t xml:space="preserve">Ensure separate partition exists for /home.</t>
  </si>
  <si>
    <t xml:space="preserve">For new installations, during installation create a custom partition setup and specify a separate partition for /home. For systems that were previously installed, create a new partition and configure /etc/fstab as appropriate.</t>
  </si>
  <si>
    <t xml:space="preserve">Ensure nodev option set on /home partition.</t>
  </si>
  <si>
    <t xml:space="preserve">-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</si>
  <si>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 xml:space="preserve">Ensure nosuid option set on /home partition.</t>
  </si>
  <si>
    <t xml:space="preserve">-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</si>
  <si>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 xml:space="preserve">Ensure separate partition exists for /var.</t>
  </si>
  <si>
    <t xml:space="preserve">For new installations, during installation create a custom partition setup and specify a separate partition for /var. For systems that were previously installed, create a new partition and configure /etc/fstab as appropriate.</t>
  </si>
  <si>
    <t xml:space="preserve">Ensure nodev option set on /var partition.</t>
  </si>
  <si>
    <t xml:space="preserve">-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</si>
  <si>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 xml:space="preserve">Ensure nosuid option set on /var partition.</t>
  </si>
  <si>
    <t xml:space="preserve">-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</si>
  <si>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 xml:space="preserve">Ensure separate partition exists for /var/tmp.</t>
  </si>
  <si>
    <t xml:space="preserve">For new installations, during installation create a custom partition setup and specify a separate partition for /var/tmp. For systems that were previously installed, create a new partition and configure /etc/fstab as appropriate.</t>
  </si>
  <si>
    <t xml:space="preserve">Ensure nodev option set on /var/tmp partition.</t>
  </si>
  <si>
    <t xml:space="preserve">-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</si>
  <si>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 xml:space="preserve">Ensure nosuid option set on /var/tmp partition.</t>
  </si>
  <si>
    <t xml:space="preserve">-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</si>
  <si>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 xml:space="preserve">Ensure noexec option set on /var/tmp partition.</t>
  </si>
  <si>
    <t xml:space="preserve">-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</si>
  <si>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 xml:space="preserve">Ensure separate partition exists for /var/log.</t>
  </si>
  <si>
    <t xml:space="preserve">For new installations, during installation create a custom partition setup and specify a separate partition for /var/log . For systems that were previously installed, create a new partition and configure /etc/fstab as appropriate.</t>
  </si>
  <si>
    <t xml:space="preserve">Ensure nodev option set on /var/log partition.</t>
  </si>
  <si>
    <t xml:space="preserve">-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</si>
  <si>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 xml:space="preserve">Ensure nosuid option set on /var/log partition.</t>
  </si>
  <si>
    <t xml:space="preserve">-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</si>
  <si>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 xml:space="preserve">Ensure noexec option set on /var/log partition.</t>
  </si>
  <si>
    <t xml:space="preserve">-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</si>
  <si>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 xml:space="preserve">Ensure separate partition exists for /var/log/audit.</t>
  </si>
  <si>
    <t xml:space="preserve">For new installations, during installation create a custom partition setup and specify a separate partition for /var/log/audit. For systems that were previously installed, create a new partition and configure /etc/fstab as appropriate.</t>
  </si>
  <si>
    <t xml:space="preserve">Ensure nodev option set on /var/log/audit partition.</t>
  </si>
  <si>
    <t xml:space="preserve">-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t>
  </si>
  <si>
    <t xml:space="preserve">Ensure nosuid option set on /var/log/audit partition.</t>
  </si>
  <si>
    <t xml:space="preserve">-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t>
  </si>
  <si>
    <t xml:space="preserve">Ensure noexec option set on /var/log/audit partition.</t>
  </si>
  <si>
    <t xml:space="preserve">-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t>
  </si>
  <si>
    <t xml:space="preserve">Ensure bootloader password is set.</t>
  </si>
  <si>
    <t xml:space="preserve">Server sits in a private home network with physical access control. A GRUB password adds recovery risk with little benefit.</t>
  </si>
  <si>
    <t xml:space="preserve">Create an encrypted password with grub-mkpasswd-pbkdf2: # grub-mkpasswd-pbkdf2 --iteration-count=600000 --salt=64 Enter password: &lt;password&gt; Reenter password: &lt;password&gt; PBKDF2 hash of your password is &lt;encrypted-password&gt; Add the following into a custom /etc/grub.d configuration file: cat &lt;&lt;EOF exec tail -n +2 $0 set superusers="&lt;username&gt;" passwo</t>
  </si>
  <si>
    <t xml:space="preserve">Ensure systemd-timesyncd is enabled and running.</t>
  </si>
  <si>
    <t xml:space="preserve">Chrony replaced systemd-timesyncd (check 33097 now passes). CIS allows only one time sync service, so this check no longer applies.</t>
  </si>
  <si>
    <t xml:space="preserve">- IF - systemd-timesyncd is in use on the system, run the following commands: Run the following command to unmask systemd-timesyncd.service: # systemctl unmask systemd-timesyncd.service Run the following command to enable and start systemd-timesyncd.service: # systemctl --now enable systemd-timesyncd.service - OR - If another time synchronization s</t>
  </si>
  <si>
    <t xml:space="preserve">Ensure ufw default deny firewall policy.</t>
  </si>
  <si>
    <t xml:space="preserve">Outbound default-deny would break updates, DNS, NTP, Docker, Tailscale and the Wazuh agent on a VPN gateway. Incoming and routed traffic are already deny, which is the compensating control.</t>
  </si>
  <si>
    <t xml:space="preserve">Run the following commands to implement a default deny policy: # ufw default deny incoming # ufw default deny outgoing # ufw default deny routed.</t>
  </si>
  <si>
    <t xml:space="preserve">Ensure ufw is uninstalled or disabled with nftables.</t>
  </si>
  <si>
    <t xml:space="preserve">CIS expects only one firewall framework. The server uses ufw, so the nftables and iptables checks are an alternative and do not apply.</t>
  </si>
  <si>
    <t xml:space="preserve">Run one of the following to either remove ufw or disable ufw and mask ufw.service: Run the following command to remove ufw: # apt purge ufw -OR- Run the following commands to disable ufw and mask ufw.service: # ufw disable # systemctl stop ufw.service # systemctl mask ufw.service Note: ufw disable needs to be run before systemctl mask ufw.service i</t>
  </si>
  <si>
    <t xml:space="preserve">Ensure a nftables table exists.</t>
  </si>
  <si>
    <t xml:space="preserve">Run the following command to create a table in nftables # nft create table inet &lt;table name&gt; Example: # nft create table inet filter.</t>
  </si>
  <si>
    <t xml:space="preserve">Ensure nftables base chains exist.</t>
  </si>
  <si>
    <t xml:space="preserve">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t>
  </si>
  <si>
    <t xml:space="preserve">Ensure nftables loopback traffic is configured.</t>
  </si>
  <si>
    <t xml:space="preserve">Run the following commands to implement the loopback rules: # nft add rule inet filter input iif lo accept # nft add rule inet filter input ip saddr 127.0.0.0/8 counter drop - IF - IPv6 is enabled on the system: Run the following command to implement the IPv6 loopback rule: # nft add rule inet filter input ip6 saddr ::1 counter drop.</t>
  </si>
  <si>
    <t xml:space="preserve">Ensure nftables service is enabled.</t>
  </si>
  <si>
    <t xml:space="preserve">Run the following command to enable the nftables service: # systemctl enable nftables.</t>
  </si>
  <si>
    <t xml:space="preserve">Ensure iptables packages are installed.</t>
  </si>
  <si>
    <t xml:space="preserve">Run the following command to install iptables and iptables-persistent # apt install iptables iptables-persistent.</t>
  </si>
  <si>
    <t xml:space="preserve">Ensure ufw is not in use with iptables.</t>
  </si>
  <si>
    <t xml:space="preserve">Run the following command to remove ufw: # apt purge ufw - OR - Run the following commands to disable ufw, and stop and mask ufw.service: # ufw disable # systemctl stop ufw.service # systemctl mask ufw.service Note: ufw disable needs to be run before systemctl mask ufw.service in order to correctly disable UFW.</t>
  </si>
  <si>
    <t xml:space="preserve">Ensure iptables default deny firewall policy.</t>
  </si>
  <si>
    <t xml:space="preserve">Run the following commands to implement a default DROP policy: # iptables -P INPUT DROP # iptables -P OUTPUT DROP # iptables -P FORWARD DROP.</t>
  </si>
  <si>
    <t xml:space="preserve">Ensure iptables loopback traffic is configured.</t>
  </si>
  <si>
    <t xml:space="preserve">Run the following commands to implement the loopback rules: # iptables -A INPUT -i lo -j ACCEPT # iptables -A OUTPUT -o lo -j ACCEPT # iptables -A INPUT -s 127.0.0.0/8 -j DROP.</t>
  </si>
  <si>
    <t xml:space="preserve">Ensure ip6tables default deny firewall policy.</t>
  </si>
  <si>
    <t xml:space="preserve">- IF - IPv6 is enabled on your system: Run the following commands to implement a default DROP policy: # ip6tables -P INPUT DROP # ip6tables -P OUTPUT DROP # ip6tables -P FORWARD DROP.</t>
  </si>
  <si>
    <t xml:space="preserve">Ensure ip6tables loopback traffic is configured.</t>
  </si>
  <si>
    <t xml:space="preserve">Run the following commands to implement the loopback rules: # ip6tables -A INPUT -i lo -j ACCEPT # ip6tables -A OUTPUT -o lo -j ACCEPT # ip6tables -A INPUT -s ::1 -j DROP.</t>
  </si>
  <si>
    <t xml:space="preserve">Ensure sudo authentication timeout is configured correctly.</t>
  </si>
  <si>
    <t xml:space="preserve">Deliberate deviation: sudo timeout is 5 minutes, stricter than the 15 the scan requires. The policy also demands the exact value 15 in /etc/sudoers.</t>
  </si>
  <si>
    <t xml:space="preserve">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t>
  </si>
  <si>
    <t xml:space="preserve">Ensure pam_pwquality module is enabled.</t>
  </si>
  <si>
    <t xml:space="preserve">Scanner rule defect, not a host gap: the regex looks for retry=(d+) with a literal d instead of \d. pam_pwquality is installed and enabled in common-password.</t>
  </si>
  <si>
    <t xml:space="preserve">Run the following script to verify the pam_pwquality.so line exists in a pam-auth- update profile: # grep -P -- '\bpam_pwquality\.so\b' /usr/share/pam-configs/* Output should be similar to: /usr/share/pam-configs/pwquality: requisite pam_pwquality.so retry=3 /usr/share/pam-configs/pwquality: requisite pam_pwquality.so retry=3 - IF - similar output </t>
  </si>
  <si>
    <t xml:space="preserve">Ensure password history is enforced for the root user.</t>
  </si>
  <si>
    <t xml:space="preserve">Scanner rule defect, not a host gap: it expects 'remember' with no value. The host uses remember=24 enforce_for_root use_authtok, which is the CIS-compliant line.</t>
  </si>
  <si>
    <t xml:space="preserve">Run the following command: # awk '/Password-Type:/{ f = 1;next } /-Type:/{ f = 0 } f {if (/pam_pwhistory\.so/) print FILENAME}' /usr/share/pam-configs/* Edit any returned files and add the enforce_for_root argument to the pam_pwhistory line in the Password section: Example File: Name: pwhistory password history checking Default: yes Priority: 1024 </t>
  </si>
  <si>
    <t xml:space="preserve">Ensure pam_pwhistory includes use_authtok.</t>
  </si>
  <si>
    <t xml:space="preserve">Run the following command: # awk '/Password-Type:/{ f = 1;next } /-Type:/{ f = 0 } f {if (/pam_pwhistory\.so/) print FILENAME}' /usr/share/pam-configs/* Edit any returned files and add the use_authtok argument to the pam_pwhistory line in the Password section: Example File: Name: pwhistory password history checking Default: yes Priority: 1024 Passw</t>
  </si>
  <si>
    <t xml:space="preserve">Ensure pam_unix does not include remember.</t>
  </si>
  <si>
    <t xml:space="preserve">Scanner rule defect: the rule fails on any 'remember' text in the common-* PAM files, but check 33201 requires pam_pwhistory remember=24 in common-password. Both cannot pass. pam_unix itself has no remember option.</t>
  </si>
  <si>
    <t xml:space="preserve">Run the following command: # grep -PH -- '^\h*([^#\n\r]+\h+)?pam_unix\.so\h+([^#\n\r]+\h+)?remember\b' /usr/share/pam-configs/* Edit any files returned and remove the remember=_&lt;N&gt;_ argument for the pam_unix lines Example output: [success=end default=ignore] pam_unix.so obscure use_authtok try_first_pass yescrypt remember=5 # **&lt;- remove remember=&lt;</t>
  </si>
  <si>
    <t xml:space="preserve">Ensure group root is the only GID 0 group.</t>
  </si>
  <si>
    <t xml:space="preserve">Scanner rule defect, not a host gap: it matches root:x:0:0 (passwd format) in /etc/group. Verified: root is the only GID 0 group.</t>
  </si>
  <si>
    <t xml:space="preserve">Run the following command to set the root group's GID to 0: # groupmod -g 0 root Remove any groups other than the root group with GID 0 or assign them a new GID if appropriate.</t>
  </si>
  <si>
    <t xml:space="preserve">Ensure root account access is controlled.</t>
  </si>
  <si>
    <t xml:space="preserve">Scanner rule defect, not a host gap: it matches 'Password is status: P', but passwd -S prints a different format. Root has a password and SSH root login is disabled.</t>
  </si>
  <si>
    <t xml:space="preserve">Run the following command to set a password for the root user: # passwd root - OR - Run the following command to lock the root user account: # usermod -L root.</t>
  </si>
  <si>
    <t xml:space="preserve">Ensure systemd-journal-remote is installed.</t>
  </si>
  <si>
    <t xml:space="preserve">Remote log forwarding is handled by the Wazuh agent. systemd-journal-remote is an alternative.</t>
  </si>
  <si>
    <t xml:space="preserve">Run the following command to install systemd-journal-remote: # apt install systemd-journal-remote.</t>
  </si>
  <si>
    <t xml:space="preserve">Ensure systemd-journal-upload is enabled and active.</t>
  </si>
  <si>
    <t xml:space="preserve">Run the following commands to unmask, enable and start systemd-journal-upload: # systemctl unmask systemd-journal-upload.service # systemctl --now enable systemd-journal-upload.service.</t>
  </si>
  <si>
    <t xml:space="preserve">Ensure audit_backlog_limit is sufficient.</t>
  </si>
  <si>
    <t xml:space="preserve">Scanner rule defect, not a host gap: the rule negates every grub line and always fails. audit_backlog_limit=8192 is set in GRUB_CMDLINE_LINUX and active after reboot.</t>
  </si>
  <si>
    <t xml:space="preserve">Edit /etc/default/grub and add audit_backlog_limit=N to GRUB_CMDLINE_LINUX. The recommended size for N is 8192 or larger. Example: GRUB_CMDLINE_LINUX="audit_backlog_limit=8192" Run the following command to update the grub2 configuration: # update-grub.</t>
  </si>
  <si>
    <t xml:space="preserve">Ensure audit logs are not automatically deleted.</t>
  </si>
  <si>
    <t xml:space="preserve">Halting or single-user mode when audit logs fill, and keeping logs forever, would take the VPN gateway offline until someone is physically present. Default log rotation keeps the disk bounded. Revisit if audit logs are forwarded and disk monitoring exists.</t>
  </si>
  <si>
    <t xml:space="preserve">Set the following parameter in /etc/audit/auditd.conf: max_log_file_action = keep_logs.</t>
  </si>
  <si>
    <t xml:space="preserve">Ensure system is disabled when audit logs are full.</t>
  </si>
  <si>
    <t xml:space="preserve">Set one of the following parameters in /etc/audit/auditd.conf depending on your local security policies. disk_full_action = &lt;halt|single&gt; disk_error_action = &lt;syslog|single|halt&gt; Example: disk_full_action = halt disk_error_action = halt.</t>
  </si>
  <si>
    <t xml:space="preserve">Ensure system warns when audit logs are low on space.</t>
  </si>
  <si>
    <t xml:space="preserve">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t>
  </si>
  <si>
    <t xml:space="preserve">Ensure actions as another user are always logged.</t>
  </si>
  <si>
    <t xml:space="preserve">Scanner rule defect, not a host gap: it expects -C euid!=uid, but auditctl always prints -C uid!=euid. The execve user_emulation rule is loaded for b64 and b32.</t>
  </si>
  <si>
    <t xml:space="preserve">Create audit rules Edit or create a file in the /etc/audit/rules.d/ directory, ending in .rules extension, with the relevant rules to monitor elevated privileges. Example: # printf " -a always,exit -F arch=b64 -C euid!=uid -F auid!=unset -S execve -k user_emulation -a always,exit -F arch=b32 -C euid!=uid -F auid!=unset -S execve -k user_emulation "</t>
  </si>
  <si>
    <t xml:space="preserve">Ensure events that modify the system's network environment are collected.</t>
  </si>
  <si>
    <t xml:space="preserve">Scanner rule defect, not a host gap: it requires a watch on /etc/netplan, which does not exist on Debian. /etc/network, /etc/hosts and the hostname syscalls are watched.</t>
  </si>
  <si>
    <t xml:space="preserve">Create audit rules Edit or create a file in the /etc/audit/rules.d/ directory, ending in .rules extension, with the relevant rules to monitor events that modify the system's network environment. Example: # printf " -a always,exit -F arch=b64 -S sethostname,setdomainname -k system-locale -a always,exit -F arch=b32 -S sethostname,setdomainname -k sys</t>
  </si>
  <si>
    <t xml:space="preserve">Ensure events that modify the system's Mandatory Access Controls are collected.</t>
  </si>
  <si>
    <t xml:space="preserve">Scanner rule defect, not a host gap: it expects a trailing slash, but auditctl strips it when listing. /etc/apparmor and /etc/apparmor.d are watched with key MAC-policy.</t>
  </si>
  <si>
    <t xml:space="preserve">Edit or create a file in the /etc/audit/rules.d/ directory, ending in .rules extension, with the relevant rules to monitor events that modify the system's Mandatory Access Controls. Example: # printf " -w /etc/apparmor/ -p wa -k MAC-policy -w /etc/apparmor.d/ -p wa -k MAC-policy " &gt;&gt; /etc/audit/rules.d/50-MAC-policy.rules Merge and load the rules i</t>
  </si>
  <si>
    <t xml:space="preserve">Ensure successful and unsuccessful attempts to use the chcon command are collected.</t>
  </si>
  <si>
    <t xml:space="preserve">Scanner rule defect, not a host gap: the file rule contains '-F auid!=unset' without the r: prefix, so it can never match. The audit rule is loaded and listed by auditctl.</t>
  </si>
  <si>
    <t xml:space="preserve">Create audit rules Edit or create a file in the /etc/audit/rules.d/ directory, ending in .rules extension, with the relevant rules to monitor successful and unsuccessful attempts to use the chcon command. Example: # { UID_MIN=$(awk '/^\s*UID_MIN/{print $2}' /etc/login.defs) [ -n "${UID_MIN}" ] &amp;&amp; printf " -a always,exit -F path=/usr/bin/chcon -F pe</t>
  </si>
  <si>
    <t xml:space="preserve">Ensure successful and unsuccessful attempts to use the setfacl command are collected.</t>
  </si>
  <si>
    <t xml:space="preserve">Create audit rules Edit or create a file in the /etc/audit/rules.d/ directory, ending in .rules extension, with the relevant rules to monitor successful and unsuccessful attempts to use the setfacl command. Example: # { UID_MIN=$(awk '/^\s*UID_MIN/{print $2}' /etc/login.defs) [ -n "${UID_MIN}" ] &amp;&amp; printf " -a always,exit -F path=/usr/bin/setfacl -</t>
  </si>
  <si>
    <t xml:space="preserve">Ensure successful and unsuccessful attempts to use the chacl command are collected.</t>
  </si>
  <si>
    <t xml:space="preserve">Create audit rules Edit or create a file in the /etc/audit/rules.d/ directory, ending in .rules extension, with the relevant rules to monitor successful and unsuccessful attempts to use the chacl command. Example: # { UID_MIN=$(awk '/^\s*UID_MIN/{print $2}' /etc/login.defs) [ -n "${UID_MIN}" ] &amp;&amp; printf " -a always,exit -F path=/usr/bin/chacl -F pe</t>
  </si>
  <si>
    <t xml:space="preserve">Ensure successful and unsuccessful attempts to use the usermod command are collected.</t>
  </si>
  <si>
    <t xml:space="preserve">Create audit rules Edit or create a file in the /etc/audit/rules.d/ directory, ending in .rules extension, with the relevant rules to monitor successful and unsuccessful attempts to use the usermod command. Example: # { UID_MIN=$(awk '/^\s*UID_MIN/{print $2}' /etc/login.defs) [ -n "${UID_MIN}" ] &amp;&amp; printf " -a always,exit -F path=/usr/sbin/usermod </t>
  </si>
  <si>
    <t xml:space="preserve">Ensure the audit configuration is immutable.</t>
  </si>
  <si>
    <t xml:space="preserve">Immutable audit rules (-e 2) need a reboot for any rule change. Reconsider once the rule set is stable.</t>
  </si>
  <si>
    <t xml:space="preserve">Edit or create the file /etc/audit/rules.d/99-finalize.rules and add the line -e 2 at the end of the file: Example: # printf '\n%s' "-e 2" &gt;&gt; /etc/audit/rules.d/99-finalize.rules Load audit rules Merge and load the rules into active configuration: # augenrules --load Check if reboot is required. # if [[ $(auditctl -s | grep "enabled") =~ "2" ]]; th</t>
  </si>
  <si>
    <t xml:space="preserve">Ensure AIDE is installed.</t>
  </si>
  <si>
    <t xml:space="preserve">File integrity is covered by Wazuh syscheck (FIM), an equivalent control. AIDE would duplicate it.</t>
  </si>
  <si>
    <t xml:space="preserve">Install AIDE using the appropriate package manager or manual installation: # apt install aide aide-common Configure AIDE as appropriate for your environment. Consult the AIDE documentation for options. Run the following commands to initialize AIDE: # aideinit # mv /var/lib/aide/aide.db.new /var/lib/aide/aide.db.</t>
  </si>
  <si>
    <t xml:space="preserve">Ensure filesystem integrity is regularly checked.</t>
  </si>
  <si>
    <t xml:space="preserve">Run the following command to unmask dailyaidecheck.timer and dailyaidecheck.service: # systemctl unmask dailyaidecheck.timer dailyaidecheck.service Run the following command to enable and start dailyaidecheck.timer: # systemctl --now enable dailyaidecheck.timer.</t>
  </si>
  <si>
    <t xml:space="preserve">Ensure accounts in /etc/passwd use shadowed passwords.</t>
  </si>
  <si>
    <t xml:space="preserve">Scanner rule defect, not a host gap: the rule is inverted. Verified: no account in /etc/passwd lacks an x in the password field.</t>
  </si>
  <si>
    <t xml:space="preserve">Run the following command to set accounts to use shadowed passwords and migrate passwords in /etc/passwd to /etc/shadow: # pwconv Investigate to determine if the account is logged in and what it is being used for, to determine if it needs to be forced off.</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</si>
</sst>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1"/>
      <color theme="1"/>
      <name val="Arial"/>
      <family val="0"/>
      <charset val="1"/>
    </font>
    <font>
      <b val="true"/>
      <sz val="11"/>
      <color rgb="FFFFFFFF"/>
      <name val="Arial"/>
      <family val="0"/>
      <charset val="1"/>
    </font>
    <font>
      <b val="true"/>
      <sz val="11"/>
      <name val="Arial"/>
      <family val="0"/>
      <charset val="1"/>
    </font>
    <font>
      <i val="true"/>
      <sz val="9"/>
      <name val="Arial"/>
      <family val="0"/>
      <charset val="1"/>
    </font>
    <font>
      <i val="true"/>
      <sz val="10"/>
      <name val="Arial"/>
      <family val="0"/>
      <charset val="1"/>
    </font>
    <font>
      <sz val="10"/>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EB9C"/>
          <bgColor rgb="FF000000"/>
        </patternFill>
      </fill>
    </dxf>
    <dxf>
      <fill>
        <patternFill patternType="solid">
          <fgColor rgb="FFF8CBAD"/>
          <bgColor rgb="FF000000"/>
        </patternFill>
      </fill>
    </dxf>
    <dxf>
      <fill>
        <patternFill patternType="solid">
          <fgColor rgb="FFFFF2CC"/>
          <bgColor rgb="FF000000"/>
        </patternFill>
      </fill>
    </dxf>
    <dxf>
      <fill>
        <patternFill>
          <bgColor rgb="FFC6EFCE"/>
        </patternFill>
      </fill>
    </dxf>
    <dxf>
      <fill>
        <patternFill>
          <bgColor rgb="FFFFEB9C"/>
        </patternFill>
      </fill>
    </dxf>
    <dxf>
      <fill>
        <patternFill>
          <bgColor rgb="FFDDEBF7"/>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0"/>
    <col collapsed="false" customWidth="true" hidden="false" outlineLevel="0" max="8" min="4" style="0" width="11"/>
  </cols>
  <sheetData>
    <row r="1" customFormat="false" ht="17.35" hidden="false" customHeight="false" outlineLevel="0" collapsed="false">
      <c r="A1" s="1" t="s">
        <v>0</v>
      </c>
      <c r="B1" s="2"/>
      <c r="C1" s="2"/>
      <c r="D1" s="2"/>
      <c r="E1" s="2"/>
      <c r="F1" s="2"/>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3" t="s">
        <v>1</v>
      </c>
      <c r="B3" s="3" t="s">
        <v>2</v>
      </c>
      <c r="C3" s="2"/>
      <c r="D3" s="2"/>
      <c r="E3" s="2"/>
      <c r="F3" s="2"/>
      <c r="G3" s="2"/>
      <c r="H3" s="2"/>
    </row>
    <row r="4" customFormat="false" ht="15" hidden="false" customHeight="false" outlineLevel="0" collapsed="false">
      <c r="A4" s="2" t="s">
        <v>3</v>
      </c>
      <c r="B4" s="2" t="n">
        <f aca="false">COUNTIF('Decision register'!$C$5:$C$117,A4)</f>
        <v>52</v>
      </c>
      <c r="C4" s="2"/>
      <c r="D4" s="2"/>
      <c r="E4" s="2"/>
      <c r="F4" s="2"/>
      <c r="G4" s="2"/>
      <c r="H4" s="2"/>
    </row>
    <row r="5" customFormat="false" ht="15" hidden="false" customHeight="false" outlineLevel="0" collapsed="false">
      <c r="A5" s="2" t="s">
        <v>4</v>
      </c>
      <c r="B5" s="2" t="n">
        <f aca="false">COUNTIF('Decision register'!$C$5:$C$117,A5)</f>
        <v>60</v>
      </c>
      <c r="C5" s="2"/>
      <c r="D5" s="2"/>
      <c r="E5" s="2"/>
      <c r="F5" s="2"/>
      <c r="G5" s="2"/>
      <c r="H5" s="2"/>
    </row>
    <row r="6" customFormat="false" ht="15" hidden="false" customHeight="false" outlineLevel="0" collapsed="false">
      <c r="A6" s="2" t="s">
        <v>5</v>
      </c>
      <c r="B6" s="2" t="n">
        <f aca="false">COUNTIF('Decision register'!$C$5:$C$117,A6)</f>
        <v>1</v>
      </c>
      <c r="C6" s="2"/>
      <c r="D6" s="2"/>
      <c r="E6" s="2"/>
      <c r="F6" s="2"/>
      <c r="G6" s="2"/>
      <c r="H6" s="2"/>
    </row>
    <row r="7" customFormat="false" ht="15" hidden="false" customHeight="false" outlineLevel="0" collapsed="false">
      <c r="A7" s="4" t="s">
        <v>6</v>
      </c>
      <c r="B7" s="4" t="n">
        <f aca="false">SUM(B4:B6)</f>
        <v>113</v>
      </c>
      <c r="C7" s="2"/>
      <c r="D7" s="2"/>
      <c r="E7" s="2"/>
      <c r="F7" s="2"/>
      <c r="G7" s="2"/>
      <c r="H7" s="2"/>
    </row>
    <row r="8" customFormat="false" ht="15" hidden="false" customHeight="false" outlineLevel="0" collapsed="false">
      <c r="A8" s="2"/>
      <c r="B8" s="2"/>
      <c r="C8" s="2"/>
      <c r="D8" s="2"/>
      <c r="E8" s="2"/>
      <c r="F8" s="2"/>
      <c r="G8" s="2"/>
      <c r="H8" s="2"/>
    </row>
    <row r="9" customFormat="false" ht="15" hidden="false" customHeight="false" outlineLevel="0" collapsed="false">
      <c r="A9" s="3" t="s">
        <v>7</v>
      </c>
      <c r="B9" s="3" t="s">
        <v>2</v>
      </c>
      <c r="C9" s="3" t="s">
        <v>8</v>
      </c>
      <c r="D9" s="2"/>
      <c r="E9" s="2"/>
      <c r="F9" s="2"/>
      <c r="G9" s="2"/>
      <c r="H9" s="2"/>
    </row>
    <row r="10" customFormat="false" ht="15" hidden="false" customHeight="false" outlineLevel="0" collapsed="false">
      <c r="A10" s="2" t="s">
        <v>9</v>
      </c>
      <c r="B10" s="2" t="n">
        <f aca="false">COUNTIF('Decision register'!$D$5:$D$117,A10)</f>
        <v>20</v>
      </c>
      <c r="C10" s="2" t="n">
        <f aca="false">COUNTIFS('Decision register'!$D$5:$D$117,A10,'Decision register'!$H$5:$H$117,"Done")</f>
        <v>20</v>
      </c>
      <c r="D10" s="2"/>
      <c r="E10" s="2"/>
      <c r="F10" s="2"/>
      <c r="G10" s="2"/>
      <c r="H10" s="2"/>
    </row>
    <row r="11" customFormat="false" ht="15" hidden="false" customHeight="false" outlineLevel="0" collapsed="false">
      <c r="A11" s="2" t="s">
        <v>10</v>
      </c>
      <c r="B11" s="2" t="n">
        <f aca="false">COUNTIF('Decision register'!$D$5:$D$117,A11)</f>
        <v>7</v>
      </c>
      <c r="C11" s="2" t="n">
        <f aca="false">COUNTIFS('Decision register'!$D$5:$D$117,A11,'Decision register'!$H$5:$H$117,"Done")</f>
        <v>7</v>
      </c>
      <c r="D11" s="2"/>
      <c r="E11" s="2"/>
      <c r="F11" s="2"/>
      <c r="G11" s="2"/>
      <c r="H11" s="2"/>
    </row>
    <row r="12" customFormat="false" ht="15" hidden="false" customHeight="false" outlineLevel="0" collapsed="false">
      <c r="A12" s="2" t="s">
        <v>11</v>
      </c>
      <c r="B12" s="2" t="n">
        <f aca="false">COUNTIF('Decision register'!$D$5:$D$117,A12)</f>
        <v>15</v>
      </c>
      <c r="C12" s="2" t="n">
        <f aca="false">COUNTIFS('Decision register'!$D$5:$D$117,A12,'Decision register'!$H$5:$H$117,"Done")</f>
        <v>15</v>
      </c>
      <c r="D12" s="2"/>
      <c r="E12" s="2"/>
      <c r="F12" s="2"/>
      <c r="G12" s="2"/>
      <c r="H12" s="2"/>
    </row>
    <row r="13" customFormat="false" ht="15" hidden="false" customHeight="false" outlineLevel="0" collapsed="false">
      <c r="A13" s="2" t="s">
        <v>12</v>
      </c>
      <c r="B13" s="2" t="n">
        <f aca="false">COUNTIF('Decision register'!$D$5:$D$117,A13)</f>
        <v>11</v>
      </c>
      <c r="C13" s="2" t="n">
        <f aca="false">COUNTIFS('Decision register'!$D$5:$D$117,A13,'Decision register'!$H$5:$H$117,"Done")</f>
        <v>11</v>
      </c>
      <c r="D13" s="2"/>
      <c r="E13" s="2"/>
      <c r="F13" s="2"/>
      <c r="G13" s="2"/>
      <c r="H13" s="2"/>
    </row>
    <row r="14" customFormat="false" ht="15" hidden="false" customHeight="false" outlineLevel="0" collapsed="false">
      <c r="A14" s="2" t="s">
        <v>13</v>
      </c>
      <c r="B14" s="2" t="n">
        <f aca="false">COUNTIF('Decision register'!$D$5:$D$117,A14)</f>
        <v>0</v>
      </c>
      <c r="C14" s="2" t="n">
        <f aca="false">COUNTIFS('Decision register'!$D$5:$D$117,A14,'Decision register'!$H$5:$H$117,"Done")</f>
        <v>0</v>
      </c>
      <c r="D14" s="2"/>
      <c r="E14" s="2"/>
      <c r="F14" s="2"/>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4" t="s">
        <v>14</v>
      </c>
      <c r="B16" s="4" t="s">
        <v>15</v>
      </c>
      <c r="C16" s="4" t="s">
        <v>16</v>
      </c>
      <c r="D16" s="4" t="s">
        <v>17</v>
      </c>
      <c r="E16" s="4" t="s">
        <v>18</v>
      </c>
      <c r="F16" s="4" t="s">
        <v>19</v>
      </c>
      <c r="G16" s="4" t="s">
        <v>20</v>
      </c>
      <c r="H16" s="4" t="s">
        <v>21</v>
      </c>
    </row>
    <row r="17" customFormat="false" ht="15" hidden="false" customHeight="false" outlineLevel="0" collapsed="false">
      <c r="A17" s="2" t="s">
        <v>22</v>
      </c>
      <c r="B17" s="2" t="n">
        <v>81</v>
      </c>
      <c r="C17" s="2" t="n">
        <v>96</v>
      </c>
      <c r="D17" s="2" t="n">
        <v>106</v>
      </c>
      <c r="E17" s="2" t="n">
        <v>122</v>
      </c>
      <c r="F17" s="2" t="n">
        <v>131</v>
      </c>
      <c r="G17" s="2" t="n">
        <v>134</v>
      </c>
      <c r="H17" s="2" t="n">
        <v>136</v>
      </c>
    </row>
    <row r="18" customFormat="false" ht="15" hidden="false" customHeight="false" outlineLevel="0" collapsed="false">
      <c r="A18" s="2" t="s">
        <v>23</v>
      </c>
      <c r="B18" s="2" t="n">
        <v>107</v>
      </c>
      <c r="C18" s="2" t="n">
        <v>94</v>
      </c>
      <c r="D18" s="2" t="n">
        <v>84</v>
      </c>
      <c r="E18" s="2" t="n">
        <v>73</v>
      </c>
      <c r="F18" s="2" t="n">
        <v>65</v>
      </c>
      <c r="G18" s="2" t="n">
        <v>62</v>
      </c>
      <c r="H18" s="2" t="n">
        <v>60</v>
      </c>
    </row>
    <row r="19" customFormat="false" ht="15" hidden="false" customHeight="false" outlineLevel="0" collapsed="false">
      <c r="A19" s="2" t="s">
        <v>24</v>
      </c>
      <c r="B19" s="2" t="n">
        <v>19</v>
      </c>
      <c r="C19" s="2" t="n">
        <v>17</v>
      </c>
      <c r="D19" s="2" t="n">
        <v>17</v>
      </c>
      <c r="E19" s="2" t="n">
        <v>12</v>
      </c>
      <c r="F19" s="2" t="n">
        <v>11</v>
      </c>
      <c r="G19" s="2" t="n">
        <v>11</v>
      </c>
      <c r="H19" s="2" t="n">
        <v>11</v>
      </c>
    </row>
    <row r="20" customFormat="false" ht="15" hidden="false" customHeight="false" outlineLevel="0" collapsed="false">
      <c r="A20" s="2" t="s">
        <v>25</v>
      </c>
      <c r="B20" s="5" t="n">
        <f aca="false">B17/(B17+B18)</f>
        <v>0.430851063829787</v>
      </c>
      <c r="C20" s="5" t="n">
        <f aca="false">C17/(C17+C18)</f>
        <v>0.505263157894737</v>
      </c>
      <c r="D20" s="5" t="n">
        <f aca="false">D17/(D17+D18)</f>
        <v>0.557894736842105</v>
      </c>
      <c r="E20" s="5" t="n">
        <f aca="false">E17/(E17+E18)</f>
        <v>0.625641025641026</v>
      </c>
      <c r="F20" s="5" t="n">
        <f aca="false">F17/(F17+F18)</f>
        <v>0.668367346938776</v>
      </c>
      <c r="G20" s="5" t="n">
        <f aca="false">G17/(G17+G18)</f>
        <v>0.683673469387755</v>
      </c>
      <c r="H20" s="5" t="n">
        <f aca="false">H17/(H17+H18)</f>
        <v>0.693877551020408</v>
      </c>
    </row>
    <row r="21" customFormat="false" ht="15" hidden="false" customHeight="false" outlineLevel="0" collapsed="false">
      <c r="A21" s="6" t="s">
        <v>26</v>
      </c>
      <c r="B21" s="2"/>
      <c r="C21" s="2"/>
      <c r="D21" s="2"/>
      <c r="E21" s="2"/>
      <c r="F21" s="2"/>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4" t="s">
        <v>27</v>
      </c>
      <c r="B23" s="2"/>
      <c r="C23" s="2"/>
      <c r="D23" s="2"/>
      <c r="E23" s="2"/>
      <c r="F23" s="2"/>
      <c r="G23" s="2"/>
      <c r="H23" s="2"/>
    </row>
    <row r="24" customFormat="false" ht="15" hidden="false" customHeight="false" outlineLevel="0" collapsed="false">
      <c r="A24" s="2" t="s">
        <v>28</v>
      </c>
      <c r="B24" s="2"/>
      <c r="C24" s="2"/>
      <c r="D24" s="2"/>
      <c r="E24" s="2"/>
      <c r="F24" s="2"/>
      <c r="G24" s="2"/>
      <c r="H24" s="2"/>
    </row>
    <row r="25" customFormat="false" ht="15" hidden="false" customHeight="false" outlineLevel="0" collapsed="false">
      <c r="A25" s="2" t="s">
        <v>29</v>
      </c>
      <c r="B25" s="2"/>
      <c r="C25" s="2"/>
      <c r="D25" s="2"/>
      <c r="E25" s="2"/>
      <c r="F25" s="2"/>
      <c r="G25" s="2"/>
      <c r="H25" s="2"/>
    </row>
    <row r="26" customFormat="false" ht="15" hidden="false" customHeight="false" outlineLevel="0" collapsed="false">
      <c r="A26" s="2" t="s">
        <v>30</v>
      </c>
      <c r="B26" s="2"/>
      <c r="C26" s="2"/>
      <c r="D26" s="2"/>
      <c r="E26" s="2"/>
      <c r="F26" s="2"/>
      <c r="G26" s="2"/>
      <c r="H26" s="2"/>
    </row>
    <row r="27" customFormat="false" ht="15" hidden="false" customHeight="false" outlineLevel="0" collapsed="false">
      <c r="A27" s="2"/>
      <c r="B27" s="2"/>
      <c r="C27" s="2"/>
      <c r="D27" s="2"/>
      <c r="E27" s="2"/>
      <c r="F27" s="2"/>
      <c r="G27" s="2"/>
      <c r="H2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3"/>
    <col collapsed="false" customWidth="true" hidden="false" outlineLevel="0" max="4" min="4" style="0" width="20"/>
    <col collapsed="false" customWidth="true" hidden="false" outlineLevel="0" max="5" min="5" style="0" width="12"/>
    <col collapsed="false" customWidth="true" hidden="false" outlineLevel="0" max="7" min="6" style="0" width="60"/>
    <col collapsed="false" customWidth="true" hidden="false" outlineLevel="0" max="8" min="8" style="0" width="14"/>
    <col collapsed="false" customWidth="true" hidden="false" outlineLevel="0" max="9" min="9" style="0" width="12"/>
  </cols>
  <sheetData>
    <row r="1" customFormat="false" ht="17.35" hidden="false" customHeight="false" outlineLevel="0" collapsed="false">
      <c r="A1" s="1" t="s">
        <v>31</v>
      </c>
    </row>
    <row r="2" customFormat="false" ht="15" hidden="false" customHeight="false" outlineLevel="0" collapsed="false">
      <c r="A2" s="7" t="s">
        <v>32</v>
      </c>
    </row>
    <row r="4" customFormat="false" ht="26.85" hidden="false" customHeight="false" outlineLevel="0" collapsed="false">
      <c r="A4" s="8" t="s">
        <v>33</v>
      </c>
      <c r="B4" s="8" t="s">
        <v>34</v>
      </c>
      <c r="C4" s="8" t="s">
        <v>1</v>
      </c>
      <c r="D4" s="8" t="s">
        <v>35</v>
      </c>
      <c r="E4" s="8" t="s">
        <v>36</v>
      </c>
      <c r="F4" s="8" t="s">
        <v>37</v>
      </c>
      <c r="G4" s="8" t="s">
        <v>38</v>
      </c>
      <c r="H4" s="8" t="s">
        <v>39</v>
      </c>
      <c r="I4" s="8" t="s">
        <v>40</v>
      </c>
    </row>
    <row r="5" customFormat="false" ht="68.65" hidden="false" customHeight="false" outlineLevel="0" collapsed="false">
      <c r="A5" s="9" t="n">
        <v>33017</v>
      </c>
      <c r="B5" s="9" t="s">
        <v>41</v>
      </c>
      <c r="C5" s="9" t="s">
        <v>3</v>
      </c>
      <c r="D5" s="9" t="s">
        <v>9</v>
      </c>
      <c r="E5" s="9" t="s">
        <v>42</v>
      </c>
      <c r="F5" s="9" t="s">
        <v>43</v>
      </c>
      <c r="G5" s="9" t="s">
        <v>44</v>
      </c>
      <c r="H5" s="10" t="s">
        <v>8</v>
      </c>
      <c r="I5" s="10" t="s">
        <v>45</v>
      </c>
    </row>
    <row r="6" customFormat="false" ht="46.25" hidden="false" customHeight="false" outlineLevel="0" collapsed="false">
      <c r="A6" s="9" t="n">
        <v>33048</v>
      </c>
      <c r="B6" s="9" t="s">
        <v>46</v>
      </c>
      <c r="C6" s="9" t="s">
        <v>3</v>
      </c>
      <c r="D6" s="9" t="s">
        <v>9</v>
      </c>
      <c r="E6" s="9" t="s">
        <v>42</v>
      </c>
      <c r="F6" s="9" t="s">
        <v>47</v>
      </c>
      <c r="G6" s="9" t="s">
        <v>48</v>
      </c>
      <c r="H6" s="10" t="s">
        <v>8</v>
      </c>
      <c r="I6" s="10" t="s">
        <v>45</v>
      </c>
    </row>
    <row r="7" customFormat="false" ht="46.25" hidden="false" customHeight="false" outlineLevel="0" collapsed="false">
      <c r="A7" s="9" t="n">
        <v>33049</v>
      </c>
      <c r="B7" s="9" t="s">
        <v>49</v>
      </c>
      <c r="C7" s="9" t="s">
        <v>3</v>
      </c>
      <c r="D7" s="9" t="s">
        <v>9</v>
      </c>
      <c r="E7" s="9" t="s">
        <v>42</v>
      </c>
      <c r="F7" s="9" t="s">
        <v>47</v>
      </c>
      <c r="G7" s="9" t="s">
        <v>50</v>
      </c>
      <c r="H7" s="10" t="s">
        <v>8</v>
      </c>
      <c r="I7" s="10" t="s">
        <v>45</v>
      </c>
    </row>
    <row r="8" customFormat="false" ht="46.25" hidden="false" customHeight="false" outlineLevel="0" collapsed="false">
      <c r="A8" s="9" t="n">
        <v>33050</v>
      </c>
      <c r="B8" s="9" t="s">
        <v>51</v>
      </c>
      <c r="C8" s="9" t="s">
        <v>3</v>
      </c>
      <c r="D8" s="9" t="s">
        <v>9</v>
      </c>
      <c r="E8" s="9" t="s">
        <v>42</v>
      </c>
      <c r="F8" s="9" t="s">
        <v>47</v>
      </c>
      <c r="G8" s="9" t="s">
        <v>52</v>
      </c>
      <c r="H8" s="10" t="s">
        <v>8</v>
      </c>
      <c r="I8" s="10" t="s">
        <v>45</v>
      </c>
    </row>
    <row r="9" customFormat="false" ht="23.85" hidden="false" customHeight="false" outlineLevel="0" collapsed="false">
      <c r="A9" s="9" t="n">
        <v>33089</v>
      </c>
      <c r="B9" s="9" t="s">
        <v>53</v>
      </c>
      <c r="C9" s="9" t="s">
        <v>3</v>
      </c>
      <c r="D9" s="9" t="s">
        <v>9</v>
      </c>
      <c r="E9" s="9" t="s">
        <v>42</v>
      </c>
      <c r="F9" s="9" t="s">
        <v>54</v>
      </c>
      <c r="G9" s="9" t="s">
        <v>55</v>
      </c>
      <c r="H9" s="10" t="s">
        <v>8</v>
      </c>
      <c r="I9" s="10" t="s">
        <v>45</v>
      </c>
    </row>
    <row r="10" customFormat="false" ht="46.25" hidden="false" customHeight="false" outlineLevel="0" collapsed="false">
      <c r="A10" s="9" t="n">
        <v>33096</v>
      </c>
      <c r="B10" s="9" t="s">
        <v>56</v>
      </c>
      <c r="C10" s="9" t="s">
        <v>3</v>
      </c>
      <c r="D10" s="9" t="s">
        <v>9</v>
      </c>
      <c r="E10" s="9" t="s">
        <v>42</v>
      </c>
      <c r="F10" s="9" t="s">
        <v>57</v>
      </c>
      <c r="G10" s="9" t="s">
        <v>58</v>
      </c>
      <c r="H10" s="10" t="s">
        <v>8</v>
      </c>
      <c r="I10" s="10" t="s">
        <v>59</v>
      </c>
    </row>
    <row r="11" customFormat="false" ht="68.65" hidden="false" customHeight="false" outlineLevel="0" collapsed="false">
      <c r="A11" s="9" t="n">
        <v>33097</v>
      </c>
      <c r="B11" s="9" t="s">
        <v>60</v>
      </c>
      <c r="C11" s="9" t="s">
        <v>3</v>
      </c>
      <c r="D11" s="9" t="s">
        <v>9</v>
      </c>
      <c r="E11" s="9" t="s">
        <v>42</v>
      </c>
      <c r="F11" s="9" t="s">
        <v>61</v>
      </c>
      <c r="G11" s="9" t="s">
        <v>62</v>
      </c>
      <c r="H11" s="10" t="s">
        <v>8</v>
      </c>
      <c r="I11" s="10" t="s">
        <v>45</v>
      </c>
    </row>
    <row r="12" customFormat="false" ht="35.05" hidden="false" customHeight="false" outlineLevel="0" collapsed="false">
      <c r="A12" s="9" t="n">
        <v>33099</v>
      </c>
      <c r="B12" s="9" t="s">
        <v>63</v>
      </c>
      <c r="C12" s="9" t="s">
        <v>3</v>
      </c>
      <c r="D12" s="9" t="s">
        <v>9</v>
      </c>
      <c r="E12" s="9" t="s">
        <v>42</v>
      </c>
      <c r="F12" s="9" t="s">
        <v>64</v>
      </c>
      <c r="G12" s="9" t="s">
        <v>65</v>
      </c>
      <c r="H12" s="10" t="s">
        <v>8</v>
      </c>
      <c r="I12" s="10" t="s">
        <v>45</v>
      </c>
    </row>
    <row r="13" customFormat="false" ht="35.05" hidden="false" customHeight="false" outlineLevel="0" collapsed="false">
      <c r="A13" s="9" t="n">
        <v>33100</v>
      </c>
      <c r="B13" s="9" t="s">
        <v>66</v>
      </c>
      <c r="C13" s="9" t="s">
        <v>3</v>
      </c>
      <c r="D13" s="9" t="s">
        <v>9</v>
      </c>
      <c r="E13" s="9" t="s">
        <v>42</v>
      </c>
      <c r="F13" s="9" t="s">
        <v>64</v>
      </c>
      <c r="G13" s="9" t="s">
        <v>67</v>
      </c>
      <c r="H13" s="10" t="s">
        <v>8</v>
      </c>
      <c r="I13" s="10" t="s">
        <v>45</v>
      </c>
    </row>
    <row r="14" customFormat="false" ht="35.05" hidden="false" customHeight="false" outlineLevel="0" collapsed="false">
      <c r="A14" s="9" t="n">
        <v>33101</v>
      </c>
      <c r="B14" s="9" t="s">
        <v>68</v>
      </c>
      <c r="C14" s="9" t="s">
        <v>3</v>
      </c>
      <c r="D14" s="9" t="s">
        <v>9</v>
      </c>
      <c r="E14" s="9" t="s">
        <v>42</v>
      </c>
      <c r="F14" s="9" t="s">
        <v>64</v>
      </c>
      <c r="G14" s="9" t="s">
        <v>69</v>
      </c>
      <c r="H14" s="10" t="s">
        <v>8</v>
      </c>
      <c r="I14" s="10" t="s">
        <v>45</v>
      </c>
    </row>
    <row r="15" customFormat="false" ht="35.05" hidden="false" customHeight="false" outlineLevel="0" collapsed="false">
      <c r="A15" s="9" t="n">
        <v>33102</v>
      </c>
      <c r="B15" s="9" t="s">
        <v>70</v>
      </c>
      <c r="C15" s="9" t="s">
        <v>3</v>
      </c>
      <c r="D15" s="9" t="s">
        <v>9</v>
      </c>
      <c r="E15" s="9" t="s">
        <v>42</v>
      </c>
      <c r="F15" s="9" t="s">
        <v>64</v>
      </c>
      <c r="G15" s="9" t="s">
        <v>71</v>
      </c>
      <c r="H15" s="10" t="s">
        <v>8</v>
      </c>
      <c r="I15" s="10" t="s">
        <v>45</v>
      </c>
    </row>
    <row r="16" customFormat="false" ht="35.05" hidden="false" customHeight="false" outlineLevel="0" collapsed="false">
      <c r="A16" s="9" t="n">
        <v>33103</v>
      </c>
      <c r="B16" s="9" t="s">
        <v>72</v>
      </c>
      <c r="C16" s="9" t="s">
        <v>3</v>
      </c>
      <c r="D16" s="9" t="s">
        <v>9</v>
      </c>
      <c r="E16" s="9" t="s">
        <v>42</v>
      </c>
      <c r="F16" s="9" t="s">
        <v>64</v>
      </c>
      <c r="G16" s="9" t="s">
        <v>73</v>
      </c>
      <c r="H16" s="10" t="s">
        <v>8</v>
      </c>
      <c r="I16" s="10" t="s">
        <v>45</v>
      </c>
    </row>
    <row r="17" customFormat="false" ht="35.05" hidden="false" customHeight="false" outlineLevel="0" collapsed="false">
      <c r="A17" s="9" t="n">
        <v>33104</v>
      </c>
      <c r="B17" s="9" t="s">
        <v>74</v>
      </c>
      <c r="C17" s="9" t="s">
        <v>3</v>
      </c>
      <c r="D17" s="9" t="s">
        <v>9</v>
      </c>
      <c r="E17" s="9" t="s">
        <v>42</v>
      </c>
      <c r="F17" s="9" t="s">
        <v>64</v>
      </c>
      <c r="G17" s="9" t="s">
        <v>75</v>
      </c>
      <c r="H17" s="10" t="s">
        <v>8</v>
      </c>
      <c r="I17" s="10" t="s">
        <v>45</v>
      </c>
    </row>
    <row r="18" customFormat="false" ht="57.45" hidden="false" customHeight="false" outlineLevel="0" collapsed="false">
      <c r="A18" s="9" t="n">
        <v>33109</v>
      </c>
      <c r="B18" s="9" t="s">
        <v>76</v>
      </c>
      <c r="C18" s="9" t="s">
        <v>3</v>
      </c>
      <c r="D18" s="9" t="s">
        <v>9</v>
      </c>
      <c r="E18" s="9" t="s">
        <v>42</v>
      </c>
      <c r="F18" s="9" t="s">
        <v>77</v>
      </c>
      <c r="G18" s="9" t="s">
        <v>78</v>
      </c>
      <c r="H18" s="10" t="s">
        <v>8</v>
      </c>
      <c r="I18" s="10" t="s">
        <v>45</v>
      </c>
    </row>
    <row r="19" customFormat="false" ht="68.65" hidden="false" customHeight="false" outlineLevel="0" collapsed="false">
      <c r="A19" s="9" t="n">
        <v>33158</v>
      </c>
      <c r="B19" s="9" t="s">
        <v>79</v>
      </c>
      <c r="C19" s="9" t="s">
        <v>3</v>
      </c>
      <c r="D19" s="9" t="s">
        <v>9</v>
      </c>
      <c r="E19" s="9" t="s">
        <v>42</v>
      </c>
      <c r="F19" s="9" t="s">
        <v>47</v>
      </c>
      <c r="G19" s="9" t="s">
        <v>80</v>
      </c>
      <c r="H19" s="10" t="s">
        <v>8</v>
      </c>
      <c r="I19" s="10" t="s">
        <v>45</v>
      </c>
    </row>
    <row r="20" customFormat="false" ht="57.45" hidden="false" customHeight="false" outlineLevel="0" collapsed="false">
      <c r="A20" s="9" t="n">
        <v>33178</v>
      </c>
      <c r="B20" s="9" t="s">
        <v>81</v>
      </c>
      <c r="C20" s="9" t="s">
        <v>3</v>
      </c>
      <c r="D20" s="9" t="s">
        <v>9</v>
      </c>
      <c r="E20" s="9" t="s">
        <v>42</v>
      </c>
      <c r="F20" s="9" t="s">
        <v>82</v>
      </c>
      <c r="G20" s="9" t="s">
        <v>83</v>
      </c>
      <c r="H20" s="10" t="s">
        <v>8</v>
      </c>
      <c r="I20" s="10" t="s">
        <v>45</v>
      </c>
    </row>
    <row r="21" customFormat="false" ht="57.45" hidden="false" customHeight="false" outlineLevel="0" collapsed="false">
      <c r="A21" s="9" t="n">
        <v>33182</v>
      </c>
      <c r="B21" s="9" t="s">
        <v>84</v>
      </c>
      <c r="C21" s="9" t="s">
        <v>3</v>
      </c>
      <c r="D21" s="9" t="s">
        <v>9</v>
      </c>
      <c r="E21" s="9" t="s">
        <v>42</v>
      </c>
      <c r="F21" s="9" t="s">
        <v>85</v>
      </c>
      <c r="G21" s="9" t="s">
        <v>86</v>
      </c>
      <c r="H21" s="10" t="s">
        <v>8</v>
      </c>
      <c r="I21" s="10" t="s">
        <v>45</v>
      </c>
    </row>
    <row r="22" customFormat="false" ht="15" hidden="false" customHeight="false" outlineLevel="0" collapsed="false">
      <c r="A22" s="9" t="n">
        <v>33236</v>
      </c>
      <c r="B22" s="9" t="s">
        <v>87</v>
      </c>
      <c r="C22" s="9" t="s">
        <v>3</v>
      </c>
      <c r="D22" s="9" t="s">
        <v>9</v>
      </c>
      <c r="E22" s="9" t="s">
        <v>42</v>
      </c>
      <c r="F22" s="9" t="s">
        <v>88</v>
      </c>
      <c r="G22" s="9" t="s">
        <v>89</v>
      </c>
      <c r="H22" s="10" t="s">
        <v>8</v>
      </c>
      <c r="I22" s="10" t="s">
        <v>45</v>
      </c>
    </row>
    <row r="23" customFormat="false" ht="46.25" hidden="false" customHeight="false" outlineLevel="0" collapsed="false">
      <c r="A23" s="9" t="n">
        <v>33237</v>
      </c>
      <c r="B23" s="9" t="s">
        <v>90</v>
      </c>
      <c r="C23" s="9" t="s">
        <v>3</v>
      </c>
      <c r="D23" s="9" t="s">
        <v>9</v>
      </c>
      <c r="E23" s="9" t="s">
        <v>42</v>
      </c>
      <c r="F23" s="9" t="s">
        <v>88</v>
      </c>
      <c r="G23" s="9" t="s">
        <v>91</v>
      </c>
      <c r="H23" s="10" t="s">
        <v>8</v>
      </c>
      <c r="I23" s="10" t="s">
        <v>45</v>
      </c>
    </row>
    <row r="24" customFormat="false" ht="68.65" hidden="false" customHeight="false" outlineLevel="0" collapsed="false">
      <c r="A24" s="9" t="n">
        <v>33296</v>
      </c>
      <c r="B24" s="9" t="s">
        <v>92</v>
      </c>
      <c r="C24" s="9" t="s">
        <v>3</v>
      </c>
      <c r="D24" s="9" t="s">
        <v>9</v>
      </c>
      <c r="E24" s="9" t="s">
        <v>42</v>
      </c>
      <c r="F24" s="9" t="s">
        <v>93</v>
      </c>
      <c r="G24" s="9" t="s">
        <v>94</v>
      </c>
      <c r="H24" s="10" t="s">
        <v>8</v>
      </c>
      <c r="I24" s="10" t="s">
        <v>45</v>
      </c>
    </row>
    <row r="25" customFormat="false" ht="57.45" hidden="false" customHeight="false" outlineLevel="0" collapsed="false">
      <c r="A25" s="9" t="n">
        <v>33157</v>
      </c>
      <c r="B25" s="9" t="s">
        <v>95</v>
      </c>
      <c r="C25" s="9" t="s">
        <v>3</v>
      </c>
      <c r="D25" s="9" t="s">
        <v>10</v>
      </c>
      <c r="E25" s="9" t="s">
        <v>96</v>
      </c>
      <c r="F25" s="9" t="s">
        <v>97</v>
      </c>
      <c r="G25" s="9" t="s">
        <v>98</v>
      </c>
      <c r="H25" s="10" t="s">
        <v>8</v>
      </c>
      <c r="I25" s="10" t="s">
        <v>45</v>
      </c>
    </row>
    <row r="26" customFormat="false" ht="68.65" hidden="false" customHeight="false" outlineLevel="0" collapsed="false">
      <c r="A26" s="9" t="n">
        <v>33160</v>
      </c>
      <c r="B26" s="9" t="s">
        <v>99</v>
      </c>
      <c r="C26" s="9" t="s">
        <v>3</v>
      </c>
      <c r="D26" s="9" t="s">
        <v>10</v>
      </c>
      <c r="E26" s="9" t="s">
        <v>96</v>
      </c>
      <c r="F26" s="9" t="s">
        <v>97</v>
      </c>
      <c r="G26" s="9" t="s">
        <v>100</v>
      </c>
      <c r="H26" s="10" t="s">
        <v>8</v>
      </c>
      <c r="I26" s="10" t="s">
        <v>45</v>
      </c>
    </row>
    <row r="27" customFormat="false" ht="57.45" hidden="false" customHeight="false" outlineLevel="0" collapsed="false">
      <c r="A27" s="9" t="n">
        <v>33161</v>
      </c>
      <c r="B27" s="9" t="s">
        <v>101</v>
      </c>
      <c r="C27" s="9" t="s">
        <v>3</v>
      </c>
      <c r="D27" s="9" t="s">
        <v>10</v>
      </c>
      <c r="E27" s="9" t="s">
        <v>96</v>
      </c>
      <c r="F27" s="9" t="s">
        <v>102</v>
      </c>
      <c r="G27" s="9" t="s">
        <v>103</v>
      </c>
      <c r="H27" s="10" t="s">
        <v>8</v>
      </c>
      <c r="I27" s="10" t="s">
        <v>45</v>
      </c>
    </row>
    <row r="28" customFormat="false" ht="57.45" hidden="false" customHeight="false" outlineLevel="0" collapsed="false">
      <c r="A28" s="9" t="n">
        <v>33166</v>
      </c>
      <c r="B28" s="9" t="s">
        <v>104</v>
      </c>
      <c r="C28" s="9" t="s">
        <v>3</v>
      </c>
      <c r="D28" s="9" t="s">
        <v>10</v>
      </c>
      <c r="E28" s="9" t="s">
        <v>96</v>
      </c>
      <c r="F28" s="9" t="s">
        <v>97</v>
      </c>
      <c r="G28" s="9" t="s">
        <v>105</v>
      </c>
      <c r="H28" s="10" t="s">
        <v>8</v>
      </c>
      <c r="I28" s="10" t="s">
        <v>45</v>
      </c>
    </row>
    <row r="29" customFormat="false" ht="68.65" hidden="false" customHeight="false" outlineLevel="0" collapsed="false">
      <c r="A29" s="9" t="n">
        <v>33168</v>
      </c>
      <c r="B29" s="9" t="s">
        <v>106</v>
      </c>
      <c r="C29" s="9" t="s">
        <v>3</v>
      </c>
      <c r="D29" s="9" t="s">
        <v>10</v>
      </c>
      <c r="E29" s="9" t="s">
        <v>96</v>
      </c>
      <c r="F29" s="9" t="s">
        <v>107</v>
      </c>
      <c r="G29" s="9" t="s">
        <v>108</v>
      </c>
      <c r="H29" s="10" t="s">
        <v>8</v>
      </c>
      <c r="I29" s="10" t="s">
        <v>59</v>
      </c>
    </row>
    <row r="30" customFormat="false" ht="57.45" hidden="false" customHeight="false" outlineLevel="0" collapsed="false">
      <c r="A30" s="9" t="n">
        <v>33169</v>
      </c>
      <c r="B30" s="9" t="s">
        <v>109</v>
      </c>
      <c r="C30" s="9" t="s">
        <v>3</v>
      </c>
      <c r="D30" s="9" t="s">
        <v>10</v>
      </c>
      <c r="E30" s="9" t="s">
        <v>96</v>
      </c>
      <c r="F30" s="9" t="s">
        <v>97</v>
      </c>
      <c r="G30" s="9" t="s">
        <v>110</v>
      </c>
      <c r="H30" s="10" t="s">
        <v>8</v>
      </c>
      <c r="I30" s="10" t="s">
        <v>45</v>
      </c>
    </row>
    <row r="31" customFormat="false" ht="68.65" hidden="false" customHeight="false" outlineLevel="0" collapsed="false">
      <c r="A31" s="9" t="n">
        <v>33171</v>
      </c>
      <c r="B31" s="9" t="s">
        <v>111</v>
      </c>
      <c r="C31" s="9" t="s">
        <v>3</v>
      </c>
      <c r="D31" s="9" t="s">
        <v>10</v>
      </c>
      <c r="E31" s="9" t="s">
        <v>96</v>
      </c>
      <c r="F31" s="9" t="s">
        <v>97</v>
      </c>
      <c r="G31" s="9" t="s">
        <v>112</v>
      </c>
      <c r="H31" s="10" t="s">
        <v>8</v>
      </c>
      <c r="I31" s="10" t="s">
        <v>45</v>
      </c>
    </row>
    <row r="32" customFormat="false" ht="23.85" hidden="false" customHeight="false" outlineLevel="0" collapsed="false">
      <c r="A32" s="9" t="n">
        <v>33039</v>
      </c>
      <c r="B32" s="9" t="s">
        <v>113</v>
      </c>
      <c r="C32" s="9" t="s">
        <v>3</v>
      </c>
      <c r="D32" s="9" t="s">
        <v>11</v>
      </c>
      <c r="E32" s="9" t="s">
        <v>96</v>
      </c>
      <c r="F32" s="9" t="s">
        <v>114</v>
      </c>
      <c r="G32" s="9" t="s">
        <v>115</v>
      </c>
      <c r="H32" s="10" t="s">
        <v>8</v>
      </c>
      <c r="I32" s="10" t="s">
        <v>45</v>
      </c>
    </row>
    <row r="33" customFormat="false" ht="46.25" hidden="false" customHeight="false" outlineLevel="0" collapsed="false">
      <c r="A33" s="9" t="n">
        <v>33040</v>
      </c>
      <c r="B33" s="9" t="s">
        <v>116</v>
      </c>
      <c r="C33" s="9" t="s">
        <v>3</v>
      </c>
      <c r="D33" s="9" t="s">
        <v>11</v>
      </c>
      <c r="E33" s="9" t="s">
        <v>96</v>
      </c>
      <c r="F33" s="9" t="s">
        <v>114</v>
      </c>
      <c r="G33" s="9" t="s">
        <v>117</v>
      </c>
      <c r="H33" s="10" t="s">
        <v>8</v>
      </c>
      <c r="I33" s="10" t="s">
        <v>45</v>
      </c>
    </row>
    <row r="34" customFormat="false" ht="23.85" hidden="false" customHeight="false" outlineLevel="0" collapsed="false">
      <c r="A34" s="9" t="n">
        <v>33245</v>
      </c>
      <c r="B34" s="9" t="s">
        <v>118</v>
      </c>
      <c r="C34" s="9" t="s">
        <v>3</v>
      </c>
      <c r="D34" s="9" t="s">
        <v>11</v>
      </c>
      <c r="E34" s="9" t="s">
        <v>42</v>
      </c>
      <c r="F34" s="9" t="s">
        <v>119</v>
      </c>
      <c r="G34" s="9" t="s">
        <v>120</v>
      </c>
      <c r="H34" s="10" t="s">
        <v>8</v>
      </c>
      <c r="I34" s="10" t="s">
        <v>45</v>
      </c>
    </row>
    <row r="35" customFormat="false" ht="35.05" hidden="false" customHeight="false" outlineLevel="0" collapsed="false">
      <c r="A35" s="9" t="n">
        <v>33246</v>
      </c>
      <c r="B35" s="9" t="s">
        <v>121</v>
      </c>
      <c r="C35" s="9" t="s">
        <v>3</v>
      </c>
      <c r="D35" s="9" t="s">
        <v>11</v>
      </c>
      <c r="E35" s="9" t="s">
        <v>42</v>
      </c>
      <c r="F35" s="9" t="s">
        <v>119</v>
      </c>
      <c r="G35" s="9" t="s">
        <v>122</v>
      </c>
      <c r="H35" s="10" t="s">
        <v>8</v>
      </c>
      <c r="I35" s="10" t="s">
        <v>45</v>
      </c>
    </row>
    <row r="36" customFormat="false" ht="57.45" hidden="false" customHeight="false" outlineLevel="0" collapsed="false">
      <c r="A36" s="9" t="n">
        <v>33253</v>
      </c>
      <c r="B36" s="9" t="s">
        <v>123</v>
      </c>
      <c r="C36" s="9" t="s">
        <v>3</v>
      </c>
      <c r="D36" s="9" t="s">
        <v>11</v>
      </c>
      <c r="E36" s="9" t="s">
        <v>42</v>
      </c>
      <c r="F36" s="9" t="s">
        <v>124</v>
      </c>
      <c r="G36" s="9" t="s">
        <v>125</v>
      </c>
      <c r="H36" s="10" t="s">
        <v>8</v>
      </c>
      <c r="I36" s="10" t="s">
        <v>45</v>
      </c>
    </row>
    <row r="37" customFormat="false" ht="57.45" hidden="false" customHeight="false" outlineLevel="0" collapsed="false">
      <c r="A37" s="9" t="n">
        <v>33255</v>
      </c>
      <c r="B37" s="9" t="s">
        <v>126</v>
      </c>
      <c r="C37" s="9" t="s">
        <v>3</v>
      </c>
      <c r="D37" s="9" t="s">
        <v>11</v>
      </c>
      <c r="E37" s="9" t="s">
        <v>42</v>
      </c>
      <c r="F37" s="9" t="s">
        <v>124</v>
      </c>
      <c r="G37" s="9" t="s">
        <v>127</v>
      </c>
      <c r="H37" s="10" t="s">
        <v>8</v>
      </c>
      <c r="I37" s="10" t="s">
        <v>45</v>
      </c>
    </row>
    <row r="38" customFormat="false" ht="57.45" hidden="false" customHeight="false" outlineLevel="0" collapsed="false">
      <c r="A38" s="9" t="n">
        <v>33256</v>
      </c>
      <c r="B38" s="9" t="s">
        <v>128</v>
      </c>
      <c r="C38" s="9" t="s">
        <v>3</v>
      </c>
      <c r="D38" s="9" t="s">
        <v>11</v>
      </c>
      <c r="E38" s="9" t="s">
        <v>42</v>
      </c>
      <c r="F38" s="9" t="s">
        <v>124</v>
      </c>
      <c r="G38" s="9" t="s">
        <v>129</v>
      </c>
      <c r="H38" s="10" t="s">
        <v>8</v>
      </c>
      <c r="I38" s="10" t="s">
        <v>45</v>
      </c>
    </row>
    <row r="39" customFormat="false" ht="57.45" hidden="false" customHeight="false" outlineLevel="0" collapsed="false">
      <c r="A39" s="9" t="n">
        <v>33259</v>
      </c>
      <c r="B39" s="9" t="s">
        <v>130</v>
      </c>
      <c r="C39" s="9" t="s">
        <v>3</v>
      </c>
      <c r="D39" s="9" t="s">
        <v>11</v>
      </c>
      <c r="E39" s="9" t="s">
        <v>42</v>
      </c>
      <c r="F39" s="9" t="s">
        <v>124</v>
      </c>
      <c r="G39" s="9" t="s">
        <v>131</v>
      </c>
      <c r="H39" s="10" t="s">
        <v>8</v>
      </c>
      <c r="I39" s="10" t="s">
        <v>45</v>
      </c>
    </row>
    <row r="40" customFormat="false" ht="57.45" hidden="false" customHeight="false" outlineLevel="0" collapsed="false">
      <c r="A40" s="9" t="n">
        <v>33260</v>
      </c>
      <c r="B40" s="9" t="s">
        <v>132</v>
      </c>
      <c r="C40" s="9" t="s">
        <v>3</v>
      </c>
      <c r="D40" s="9" t="s">
        <v>11</v>
      </c>
      <c r="E40" s="9" t="s">
        <v>42</v>
      </c>
      <c r="F40" s="9" t="s">
        <v>124</v>
      </c>
      <c r="G40" s="9" t="s">
        <v>133</v>
      </c>
      <c r="H40" s="10" t="s">
        <v>8</v>
      </c>
      <c r="I40" s="10" t="s">
        <v>45</v>
      </c>
    </row>
    <row r="41" customFormat="false" ht="57.45" hidden="false" customHeight="false" outlineLevel="0" collapsed="false">
      <c r="A41" s="9" t="n">
        <v>33261</v>
      </c>
      <c r="B41" s="9" t="s">
        <v>134</v>
      </c>
      <c r="C41" s="9" t="s">
        <v>3</v>
      </c>
      <c r="D41" s="9" t="s">
        <v>11</v>
      </c>
      <c r="E41" s="9" t="s">
        <v>42</v>
      </c>
      <c r="F41" s="9" t="s">
        <v>124</v>
      </c>
      <c r="G41" s="9" t="s">
        <v>135</v>
      </c>
      <c r="H41" s="10" t="s">
        <v>8</v>
      </c>
      <c r="I41" s="10" t="s">
        <v>45</v>
      </c>
    </row>
    <row r="42" customFormat="false" ht="57.45" hidden="false" customHeight="false" outlineLevel="0" collapsed="false">
      <c r="A42" s="9" t="n">
        <v>33262</v>
      </c>
      <c r="B42" s="9" t="s">
        <v>136</v>
      </c>
      <c r="C42" s="9" t="s">
        <v>3</v>
      </c>
      <c r="D42" s="9" t="s">
        <v>11</v>
      </c>
      <c r="E42" s="9" t="s">
        <v>42</v>
      </c>
      <c r="F42" s="9" t="s">
        <v>124</v>
      </c>
      <c r="G42" s="9" t="s">
        <v>137</v>
      </c>
      <c r="H42" s="10" t="s">
        <v>8</v>
      </c>
      <c r="I42" s="10" t="s">
        <v>45</v>
      </c>
    </row>
    <row r="43" customFormat="false" ht="57.45" hidden="false" customHeight="false" outlineLevel="0" collapsed="false">
      <c r="A43" s="9" t="n">
        <v>33263</v>
      </c>
      <c r="B43" s="9" t="s">
        <v>138</v>
      </c>
      <c r="C43" s="9" t="s">
        <v>3</v>
      </c>
      <c r="D43" s="9" t="s">
        <v>11</v>
      </c>
      <c r="E43" s="9" t="s">
        <v>42</v>
      </c>
      <c r="F43" s="9" t="s">
        <v>124</v>
      </c>
      <c r="G43" s="9" t="s">
        <v>139</v>
      </c>
      <c r="H43" s="10" t="s">
        <v>8</v>
      </c>
      <c r="I43" s="10" t="s">
        <v>45</v>
      </c>
    </row>
    <row r="44" customFormat="false" ht="57.45" hidden="false" customHeight="false" outlineLevel="0" collapsed="false">
      <c r="A44" s="9" t="n">
        <v>33264</v>
      </c>
      <c r="B44" s="9" t="s">
        <v>140</v>
      </c>
      <c r="C44" s="9" t="s">
        <v>3</v>
      </c>
      <c r="D44" s="9" t="s">
        <v>11</v>
      </c>
      <c r="E44" s="9" t="s">
        <v>42</v>
      </c>
      <c r="F44" s="9" t="s">
        <v>124</v>
      </c>
      <c r="G44" s="9" t="s">
        <v>141</v>
      </c>
      <c r="H44" s="10" t="s">
        <v>8</v>
      </c>
      <c r="I44" s="10" t="s">
        <v>59</v>
      </c>
    </row>
    <row r="45" customFormat="false" ht="57.45" hidden="false" customHeight="false" outlineLevel="0" collapsed="false">
      <c r="A45" s="9" t="n">
        <v>33265</v>
      </c>
      <c r="B45" s="9" t="s">
        <v>142</v>
      </c>
      <c r="C45" s="9" t="s">
        <v>3</v>
      </c>
      <c r="D45" s="9" t="s">
        <v>11</v>
      </c>
      <c r="E45" s="9" t="s">
        <v>42</v>
      </c>
      <c r="F45" s="9" t="s">
        <v>124</v>
      </c>
      <c r="G45" s="9" t="s">
        <v>143</v>
      </c>
      <c r="H45" s="10" t="s">
        <v>8</v>
      </c>
      <c r="I45" s="10" t="s">
        <v>45</v>
      </c>
    </row>
    <row r="46" customFormat="false" ht="57.45" hidden="false" customHeight="false" outlineLevel="0" collapsed="false">
      <c r="A46" s="9" t="n">
        <v>33271</v>
      </c>
      <c r="B46" s="9" t="s">
        <v>144</v>
      </c>
      <c r="C46" s="9" t="s">
        <v>3</v>
      </c>
      <c r="D46" s="9" t="s">
        <v>11</v>
      </c>
      <c r="E46" s="9" t="s">
        <v>42</v>
      </c>
      <c r="F46" s="9" t="s">
        <v>124</v>
      </c>
      <c r="G46" s="9" t="s">
        <v>145</v>
      </c>
      <c r="H46" s="10" t="s">
        <v>8</v>
      </c>
      <c r="I46" s="10" t="s">
        <v>45</v>
      </c>
    </row>
    <row r="47" customFormat="false" ht="35.05" hidden="false" customHeight="false" outlineLevel="0" collapsed="false">
      <c r="A47" s="9" t="n">
        <v>33185</v>
      </c>
      <c r="B47" s="9" t="s">
        <v>146</v>
      </c>
      <c r="C47" s="9" t="s">
        <v>3</v>
      </c>
      <c r="D47" s="9" t="s">
        <v>12</v>
      </c>
      <c r="E47" s="9" t="s">
        <v>147</v>
      </c>
      <c r="F47" s="9" t="s">
        <v>148</v>
      </c>
      <c r="G47" s="9" t="s">
        <v>149</v>
      </c>
      <c r="H47" s="10" t="s">
        <v>8</v>
      </c>
      <c r="I47" s="10" t="s">
        <v>59</v>
      </c>
    </row>
    <row r="48" customFormat="false" ht="57.45" hidden="false" customHeight="false" outlineLevel="0" collapsed="false">
      <c r="A48" s="9" t="n">
        <v>33187</v>
      </c>
      <c r="B48" s="9" t="s">
        <v>150</v>
      </c>
      <c r="C48" s="9" t="s">
        <v>3</v>
      </c>
      <c r="D48" s="9" t="s">
        <v>12</v>
      </c>
      <c r="E48" s="9" t="s">
        <v>147</v>
      </c>
      <c r="F48" s="9" t="s">
        <v>148</v>
      </c>
      <c r="G48" s="9" t="s">
        <v>151</v>
      </c>
      <c r="H48" s="10" t="s">
        <v>8</v>
      </c>
      <c r="I48" s="10" t="s">
        <v>59</v>
      </c>
    </row>
    <row r="49" customFormat="false" ht="68.65" hidden="false" customHeight="false" outlineLevel="0" collapsed="false">
      <c r="A49" s="9" t="n">
        <v>33189</v>
      </c>
      <c r="B49" s="9" t="s">
        <v>152</v>
      </c>
      <c r="C49" s="9" t="s">
        <v>3</v>
      </c>
      <c r="D49" s="9" t="s">
        <v>12</v>
      </c>
      <c r="E49" s="9" t="s">
        <v>147</v>
      </c>
      <c r="F49" s="9" t="s">
        <v>148</v>
      </c>
      <c r="G49" s="9" t="s">
        <v>153</v>
      </c>
      <c r="H49" s="10" t="s">
        <v>8</v>
      </c>
      <c r="I49" s="10" t="s">
        <v>59</v>
      </c>
    </row>
    <row r="50" customFormat="false" ht="57.45" hidden="false" customHeight="false" outlineLevel="0" collapsed="false">
      <c r="A50" s="9" t="n">
        <v>33201</v>
      </c>
      <c r="B50" s="9" t="s">
        <v>154</v>
      </c>
      <c r="C50" s="9" t="s">
        <v>3</v>
      </c>
      <c r="D50" s="9" t="s">
        <v>12</v>
      </c>
      <c r="E50" s="9" t="s">
        <v>147</v>
      </c>
      <c r="F50" s="9" t="s">
        <v>148</v>
      </c>
      <c r="G50" s="9" t="s">
        <v>155</v>
      </c>
      <c r="H50" s="10" t="s">
        <v>8</v>
      </c>
      <c r="I50" s="10" t="s">
        <v>59</v>
      </c>
    </row>
    <row r="51" customFormat="false" ht="68.65" hidden="false" customHeight="false" outlineLevel="0" collapsed="false">
      <c r="A51" s="9" t="n">
        <v>33204</v>
      </c>
      <c r="B51" s="9" t="s">
        <v>156</v>
      </c>
      <c r="C51" s="9" t="s">
        <v>3</v>
      </c>
      <c r="D51" s="9" t="s">
        <v>12</v>
      </c>
      <c r="E51" s="9" t="s">
        <v>147</v>
      </c>
      <c r="F51" s="9" t="s">
        <v>148</v>
      </c>
      <c r="G51" s="9" t="s">
        <v>157</v>
      </c>
      <c r="H51" s="10" t="s">
        <v>8</v>
      </c>
      <c r="I51" s="10" t="s">
        <v>59</v>
      </c>
    </row>
    <row r="52" customFormat="false" ht="57.45" hidden="false" customHeight="false" outlineLevel="0" collapsed="false">
      <c r="A52" s="9" t="n">
        <v>33207</v>
      </c>
      <c r="B52" s="9" t="s">
        <v>158</v>
      </c>
      <c r="C52" s="9" t="s">
        <v>3</v>
      </c>
      <c r="D52" s="9" t="s">
        <v>12</v>
      </c>
      <c r="E52" s="9" t="s">
        <v>147</v>
      </c>
      <c r="F52" s="9" t="s">
        <v>148</v>
      </c>
      <c r="G52" s="9" t="s">
        <v>159</v>
      </c>
      <c r="H52" s="10" t="s">
        <v>8</v>
      </c>
      <c r="I52" s="10" t="s">
        <v>59</v>
      </c>
    </row>
    <row r="53" customFormat="false" ht="68.65" hidden="false" customHeight="false" outlineLevel="0" collapsed="false">
      <c r="A53" s="9" t="n">
        <v>33208</v>
      </c>
      <c r="B53" s="9" t="s">
        <v>160</v>
      </c>
      <c r="C53" s="9" t="s">
        <v>3</v>
      </c>
      <c r="D53" s="9" t="s">
        <v>12</v>
      </c>
      <c r="E53" s="9" t="s">
        <v>96</v>
      </c>
      <c r="F53" s="9" t="s">
        <v>161</v>
      </c>
      <c r="G53" s="9" t="s">
        <v>162</v>
      </c>
      <c r="H53" s="10" t="s">
        <v>8</v>
      </c>
      <c r="I53" s="10" t="s">
        <v>59</v>
      </c>
    </row>
    <row r="54" customFormat="false" ht="68.65" hidden="false" customHeight="false" outlineLevel="0" collapsed="false">
      <c r="A54" s="9" t="n">
        <v>33209</v>
      </c>
      <c r="B54" s="9" t="s">
        <v>163</v>
      </c>
      <c r="C54" s="9" t="s">
        <v>3</v>
      </c>
      <c r="D54" s="9" t="s">
        <v>12</v>
      </c>
      <c r="E54" s="9" t="s">
        <v>96</v>
      </c>
      <c r="F54" s="9" t="s">
        <v>161</v>
      </c>
      <c r="G54" s="9" t="s">
        <v>164</v>
      </c>
      <c r="H54" s="10" t="s">
        <v>8</v>
      </c>
      <c r="I54" s="10" t="s">
        <v>59</v>
      </c>
    </row>
    <row r="55" customFormat="false" ht="68.65" hidden="false" customHeight="false" outlineLevel="0" collapsed="false">
      <c r="A55" s="9" t="n">
        <v>33210</v>
      </c>
      <c r="B55" s="9" t="s">
        <v>165</v>
      </c>
      <c r="C55" s="9" t="s">
        <v>3</v>
      </c>
      <c r="D55" s="9" t="s">
        <v>12</v>
      </c>
      <c r="E55" s="9" t="s">
        <v>96</v>
      </c>
      <c r="F55" s="9" t="s">
        <v>161</v>
      </c>
      <c r="G55" s="9" t="s">
        <v>166</v>
      </c>
      <c r="H55" s="10" t="s">
        <v>8</v>
      </c>
      <c r="I55" s="10" t="s">
        <v>59</v>
      </c>
    </row>
    <row r="56" customFormat="false" ht="68.65" hidden="false" customHeight="false" outlineLevel="0" collapsed="false">
      <c r="A56" s="9" t="n">
        <v>33211</v>
      </c>
      <c r="B56" s="9" t="s">
        <v>167</v>
      </c>
      <c r="C56" s="9" t="s">
        <v>5</v>
      </c>
      <c r="D56" s="9" t="s">
        <v>12</v>
      </c>
      <c r="E56" s="9" t="s">
        <v>42</v>
      </c>
      <c r="F56" s="9" t="s">
        <v>168</v>
      </c>
      <c r="G56" s="9" t="s">
        <v>169</v>
      </c>
      <c r="H56" s="10" t="s">
        <v>8</v>
      </c>
      <c r="I56" s="10" t="s">
        <v>59</v>
      </c>
    </row>
    <row r="57" customFormat="false" ht="57.45" hidden="false" customHeight="false" outlineLevel="0" collapsed="false">
      <c r="A57" s="9" t="n">
        <v>33212</v>
      </c>
      <c r="B57" s="9" t="s">
        <v>170</v>
      </c>
      <c r="C57" s="9" t="s">
        <v>3</v>
      </c>
      <c r="D57" s="9" t="s">
        <v>12</v>
      </c>
      <c r="E57" s="9" t="s">
        <v>96</v>
      </c>
      <c r="F57" s="9" t="s">
        <v>161</v>
      </c>
      <c r="G57" s="9" t="s">
        <v>171</v>
      </c>
      <c r="H57" s="10" t="s">
        <v>8</v>
      </c>
      <c r="I57" s="10" t="s">
        <v>59</v>
      </c>
    </row>
    <row r="58" customFormat="false" ht="57.45" hidden="false" customHeight="false" outlineLevel="0" collapsed="false">
      <c r="A58" s="9" t="n">
        <v>33010</v>
      </c>
      <c r="B58" s="9" t="s">
        <v>172</v>
      </c>
      <c r="C58" s="9" t="s">
        <v>4</v>
      </c>
      <c r="D58" s="9" t="s">
        <v>173</v>
      </c>
      <c r="E58" s="9" t="s">
        <v>173</v>
      </c>
      <c r="F58" s="9" t="s">
        <v>174</v>
      </c>
      <c r="G58" s="9" t="s">
        <v>175</v>
      </c>
      <c r="H58" s="10" t="s">
        <v>176</v>
      </c>
      <c r="I58" s="10"/>
    </row>
    <row r="59" customFormat="false" ht="57.45" hidden="false" customHeight="false" outlineLevel="0" collapsed="false">
      <c r="A59" s="9" t="n">
        <v>33011</v>
      </c>
      <c r="B59" s="9" t="s">
        <v>177</v>
      </c>
      <c r="C59" s="9" t="s">
        <v>4</v>
      </c>
      <c r="D59" s="9" t="s">
        <v>173</v>
      </c>
      <c r="E59" s="9" t="s">
        <v>173</v>
      </c>
      <c r="F59" s="9" t="s">
        <v>174</v>
      </c>
      <c r="G59" s="9" t="s">
        <v>178</v>
      </c>
      <c r="H59" s="10" t="s">
        <v>176</v>
      </c>
      <c r="I59" s="10"/>
    </row>
    <row r="60" customFormat="false" ht="57.45" hidden="false" customHeight="false" outlineLevel="0" collapsed="false">
      <c r="A60" s="9" t="n">
        <v>33012</v>
      </c>
      <c r="B60" s="9" t="s">
        <v>179</v>
      </c>
      <c r="C60" s="9" t="s">
        <v>4</v>
      </c>
      <c r="D60" s="9" t="s">
        <v>173</v>
      </c>
      <c r="E60" s="9" t="s">
        <v>173</v>
      </c>
      <c r="F60" s="9" t="s">
        <v>174</v>
      </c>
      <c r="G60" s="9" t="s">
        <v>180</v>
      </c>
      <c r="H60" s="10" t="s">
        <v>176</v>
      </c>
      <c r="I60" s="10"/>
    </row>
    <row r="61" customFormat="false" ht="57.45" hidden="false" customHeight="false" outlineLevel="0" collapsed="false">
      <c r="A61" s="9" t="n">
        <v>33013</v>
      </c>
      <c r="B61" s="9" t="s">
        <v>181</v>
      </c>
      <c r="C61" s="9" t="s">
        <v>4</v>
      </c>
      <c r="D61" s="9" t="s">
        <v>173</v>
      </c>
      <c r="E61" s="9" t="s">
        <v>173</v>
      </c>
      <c r="F61" s="9" t="s">
        <v>174</v>
      </c>
      <c r="G61" s="9" t="s">
        <v>182</v>
      </c>
      <c r="H61" s="10" t="s">
        <v>176</v>
      </c>
      <c r="I61" s="10"/>
    </row>
    <row r="62" customFormat="false" ht="46.25" hidden="false" customHeight="false" outlineLevel="0" collapsed="false">
      <c r="A62" s="9" t="n">
        <v>33018</v>
      </c>
      <c r="B62" s="9" t="s">
        <v>183</v>
      </c>
      <c r="C62" s="9" t="s">
        <v>4</v>
      </c>
      <c r="D62" s="9" t="s">
        <v>173</v>
      </c>
      <c r="E62" s="9" t="s">
        <v>173</v>
      </c>
      <c r="F62" s="9" t="s">
        <v>174</v>
      </c>
      <c r="G62" s="9" t="s">
        <v>184</v>
      </c>
      <c r="H62" s="10" t="s">
        <v>176</v>
      </c>
      <c r="I62" s="10"/>
    </row>
    <row r="63" customFormat="false" ht="57.45" hidden="false" customHeight="false" outlineLevel="0" collapsed="false">
      <c r="A63" s="9" t="n">
        <v>33019</v>
      </c>
      <c r="B63" s="9" t="s">
        <v>185</v>
      </c>
      <c r="C63" s="9" t="s">
        <v>4</v>
      </c>
      <c r="D63" s="9" t="s">
        <v>173</v>
      </c>
      <c r="E63" s="9" t="s">
        <v>173</v>
      </c>
      <c r="F63" s="9" t="s">
        <v>174</v>
      </c>
      <c r="G63" s="9" t="s">
        <v>186</v>
      </c>
      <c r="H63" s="10" t="s">
        <v>176</v>
      </c>
      <c r="I63" s="10"/>
    </row>
    <row r="64" customFormat="false" ht="57.45" hidden="false" customHeight="false" outlineLevel="0" collapsed="false">
      <c r="A64" s="9" t="n">
        <v>33020</v>
      </c>
      <c r="B64" s="9" t="s">
        <v>187</v>
      </c>
      <c r="C64" s="9" t="s">
        <v>4</v>
      </c>
      <c r="D64" s="9" t="s">
        <v>173</v>
      </c>
      <c r="E64" s="9" t="s">
        <v>173</v>
      </c>
      <c r="F64" s="9" t="s">
        <v>174</v>
      </c>
      <c r="G64" s="9" t="s">
        <v>188</v>
      </c>
      <c r="H64" s="10" t="s">
        <v>176</v>
      </c>
      <c r="I64" s="10"/>
    </row>
    <row r="65" customFormat="false" ht="35.05" hidden="false" customHeight="false" outlineLevel="0" collapsed="false">
      <c r="A65" s="9" t="n">
        <v>33021</v>
      </c>
      <c r="B65" s="9" t="s">
        <v>189</v>
      </c>
      <c r="C65" s="9" t="s">
        <v>4</v>
      </c>
      <c r="D65" s="9" t="s">
        <v>173</v>
      </c>
      <c r="E65" s="9" t="s">
        <v>173</v>
      </c>
      <c r="F65" s="9" t="s">
        <v>174</v>
      </c>
      <c r="G65" s="9" t="s">
        <v>190</v>
      </c>
      <c r="H65" s="10" t="s">
        <v>176</v>
      </c>
      <c r="I65" s="10"/>
    </row>
    <row r="66" customFormat="false" ht="57.45" hidden="false" customHeight="false" outlineLevel="0" collapsed="false">
      <c r="A66" s="9" t="n">
        <v>33022</v>
      </c>
      <c r="B66" s="9" t="s">
        <v>191</v>
      </c>
      <c r="C66" s="9" t="s">
        <v>4</v>
      </c>
      <c r="D66" s="9" t="s">
        <v>173</v>
      </c>
      <c r="E66" s="9" t="s">
        <v>173</v>
      </c>
      <c r="F66" s="9" t="s">
        <v>174</v>
      </c>
      <c r="G66" s="9" t="s">
        <v>192</v>
      </c>
      <c r="H66" s="10" t="s">
        <v>176</v>
      </c>
      <c r="I66" s="10"/>
    </row>
    <row r="67" customFormat="false" ht="57.45" hidden="false" customHeight="false" outlineLevel="0" collapsed="false">
      <c r="A67" s="9" t="n">
        <v>33023</v>
      </c>
      <c r="B67" s="9" t="s">
        <v>193</v>
      </c>
      <c r="C67" s="9" t="s">
        <v>4</v>
      </c>
      <c r="D67" s="9" t="s">
        <v>173</v>
      </c>
      <c r="E67" s="9" t="s">
        <v>173</v>
      </c>
      <c r="F67" s="9" t="s">
        <v>174</v>
      </c>
      <c r="G67" s="9" t="s">
        <v>194</v>
      </c>
      <c r="H67" s="10" t="s">
        <v>176</v>
      </c>
      <c r="I67" s="10"/>
    </row>
    <row r="68" customFormat="false" ht="46.25" hidden="false" customHeight="false" outlineLevel="0" collapsed="false">
      <c r="A68" s="9" t="n">
        <v>33024</v>
      </c>
      <c r="B68" s="9" t="s">
        <v>195</v>
      </c>
      <c r="C68" s="9" t="s">
        <v>4</v>
      </c>
      <c r="D68" s="9" t="s">
        <v>173</v>
      </c>
      <c r="E68" s="9" t="s">
        <v>173</v>
      </c>
      <c r="F68" s="9" t="s">
        <v>174</v>
      </c>
      <c r="G68" s="9" t="s">
        <v>196</v>
      </c>
      <c r="H68" s="10" t="s">
        <v>176</v>
      </c>
      <c r="I68" s="10"/>
    </row>
    <row r="69" customFormat="false" ht="68.65" hidden="false" customHeight="false" outlineLevel="0" collapsed="false">
      <c r="A69" s="9" t="n">
        <v>33025</v>
      </c>
      <c r="B69" s="9" t="s">
        <v>197</v>
      </c>
      <c r="C69" s="9" t="s">
        <v>4</v>
      </c>
      <c r="D69" s="9" t="s">
        <v>173</v>
      </c>
      <c r="E69" s="9" t="s">
        <v>173</v>
      </c>
      <c r="F69" s="9" t="s">
        <v>174</v>
      </c>
      <c r="G69" s="9" t="s">
        <v>198</v>
      </c>
      <c r="H69" s="10" t="s">
        <v>176</v>
      </c>
      <c r="I69" s="10"/>
    </row>
    <row r="70" customFormat="false" ht="68.65" hidden="false" customHeight="false" outlineLevel="0" collapsed="false">
      <c r="A70" s="9" t="n">
        <v>33026</v>
      </c>
      <c r="B70" s="9" t="s">
        <v>199</v>
      </c>
      <c r="C70" s="9" t="s">
        <v>4</v>
      </c>
      <c r="D70" s="9" t="s">
        <v>173</v>
      </c>
      <c r="E70" s="9" t="s">
        <v>173</v>
      </c>
      <c r="F70" s="9" t="s">
        <v>174</v>
      </c>
      <c r="G70" s="9" t="s">
        <v>200</v>
      </c>
      <c r="H70" s="10" t="s">
        <v>176</v>
      </c>
      <c r="I70" s="10"/>
    </row>
    <row r="71" customFormat="false" ht="68.65" hidden="false" customHeight="false" outlineLevel="0" collapsed="false">
      <c r="A71" s="9" t="n">
        <v>33027</v>
      </c>
      <c r="B71" s="9" t="s">
        <v>201</v>
      </c>
      <c r="C71" s="9" t="s">
        <v>4</v>
      </c>
      <c r="D71" s="9" t="s">
        <v>173</v>
      </c>
      <c r="E71" s="9" t="s">
        <v>173</v>
      </c>
      <c r="F71" s="9" t="s">
        <v>174</v>
      </c>
      <c r="G71" s="9" t="s">
        <v>202</v>
      </c>
      <c r="H71" s="10" t="s">
        <v>176</v>
      </c>
      <c r="I71" s="10"/>
    </row>
    <row r="72" customFormat="false" ht="46.25" hidden="false" customHeight="false" outlineLevel="0" collapsed="false">
      <c r="A72" s="9" t="n">
        <v>33028</v>
      </c>
      <c r="B72" s="9" t="s">
        <v>203</v>
      </c>
      <c r="C72" s="9" t="s">
        <v>4</v>
      </c>
      <c r="D72" s="9" t="s">
        <v>173</v>
      </c>
      <c r="E72" s="9" t="s">
        <v>173</v>
      </c>
      <c r="F72" s="9" t="s">
        <v>174</v>
      </c>
      <c r="G72" s="9" t="s">
        <v>204</v>
      </c>
      <c r="H72" s="10" t="s">
        <v>176</v>
      </c>
      <c r="I72" s="10"/>
    </row>
    <row r="73" customFormat="false" ht="68.65" hidden="false" customHeight="false" outlineLevel="0" collapsed="false">
      <c r="A73" s="9" t="n">
        <v>33029</v>
      </c>
      <c r="B73" s="9" t="s">
        <v>205</v>
      </c>
      <c r="C73" s="9" t="s">
        <v>4</v>
      </c>
      <c r="D73" s="9" t="s">
        <v>173</v>
      </c>
      <c r="E73" s="9" t="s">
        <v>173</v>
      </c>
      <c r="F73" s="9" t="s">
        <v>174</v>
      </c>
      <c r="G73" s="9" t="s">
        <v>206</v>
      </c>
      <c r="H73" s="10" t="s">
        <v>176</v>
      </c>
      <c r="I73" s="10"/>
    </row>
    <row r="74" customFormat="false" ht="68.65" hidden="false" customHeight="false" outlineLevel="0" collapsed="false">
      <c r="A74" s="9" t="n">
        <v>33030</v>
      </c>
      <c r="B74" s="9" t="s">
        <v>207</v>
      </c>
      <c r="C74" s="9" t="s">
        <v>4</v>
      </c>
      <c r="D74" s="9" t="s">
        <v>173</v>
      </c>
      <c r="E74" s="9" t="s">
        <v>173</v>
      </c>
      <c r="F74" s="9" t="s">
        <v>174</v>
      </c>
      <c r="G74" s="9" t="s">
        <v>208</v>
      </c>
      <c r="H74" s="10" t="s">
        <v>176</v>
      </c>
      <c r="I74" s="10"/>
    </row>
    <row r="75" customFormat="false" ht="68.65" hidden="false" customHeight="false" outlineLevel="0" collapsed="false">
      <c r="A75" s="9" t="n">
        <v>33031</v>
      </c>
      <c r="B75" s="9" t="s">
        <v>209</v>
      </c>
      <c r="C75" s="9" t="s">
        <v>4</v>
      </c>
      <c r="D75" s="9" t="s">
        <v>173</v>
      </c>
      <c r="E75" s="9" t="s">
        <v>173</v>
      </c>
      <c r="F75" s="9" t="s">
        <v>174</v>
      </c>
      <c r="G75" s="9" t="s">
        <v>210</v>
      </c>
      <c r="H75" s="10" t="s">
        <v>176</v>
      </c>
      <c r="I75" s="10"/>
    </row>
    <row r="76" customFormat="false" ht="46.25" hidden="false" customHeight="false" outlineLevel="0" collapsed="false">
      <c r="A76" s="9" t="n">
        <v>33032</v>
      </c>
      <c r="B76" s="9" t="s">
        <v>211</v>
      </c>
      <c r="C76" s="9" t="s">
        <v>4</v>
      </c>
      <c r="D76" s="9" t="s">
        <v>173</v>
      </c>
      <c r="E76" s="9" t="s">
        <v>173</v>
      </c>
      <c r="F76" s="9" t="s">
        <v>174</v>
      </c>
      <c r="G76" s="9" t="s">
        <v>212</v>
      </c>
      <c r="H76" s="10" t="s">
        <v>176</v>
      </c>
      <c r="I76" s="10"/>
    </row>
    <row r="77" customFormat="false" ht="57.45" hidden="false" customHeight="false" outlineLevel="0" collapsed="false">
      <c r="A77" s="9" t="n">
        <v>33033</v>
      </c>
      <c r="B77" s="9" t="s">
        <v>213</v>
      </c>
      <c r="C77" s="9" t="s">
        <v>4</v>
      </c>
      <c r="D77" s="9" t="s">
        <v>173</v>
      </c>
      <c r="E77" s="9" t="s">
        <v>173</v>
      </c>
      <c r="F77" s="9" t="s">
        <v>174</v>
      </c>
      <c r="G77" s="9" t="s">
        <v>214</v>
      </c>
      <c r="H77" s="10" t="s">
        <v>176</v>
      </c>
      <c r="I77" s="10"/>
    </row>
    <row r="78" customFormat="false" ht="57.45" hidden="false" customHeight="false" outlineLevel="0" collapsed="false">
      <c r="A78" s="9" t="n">
        <v>33034</v>
      </c>
      <c r="B78" s="9" t="s">
        <v>215</v>
      </c>
      <c r="C78" s="9" t="s">
        <v>4</v>
      </c>
      <c r="D78" s="9" t="s">
        <v>173</v>
      </c>
      <c r="E78" s="9" t="s">
        <v>173</v>
      </c>
      <c r="F78" s="9" t="s">
        <v>174</v>
      </c>
      <c r="G78" s="9" t="s">
        <v>216</v>
      </c>
      <c r="H78" s="10" t="s">
        <v>176</v>
      </c>
      <c r="I78" s="10"/>
    </row>
    <row r="79" customFormat="false" ht="57.45" hidden="false" customHeight="false" outlineLevel="0" collapsed="false">
      <c r="A79" s="9" t="n">
        <v>33035</v>
      </c>
      <c r="B79" s="9" t="s">
        <v>217</v>
      </c>
      <c r="C79" s="9" t="s">
        <v>4</v>
      </c>
      <c r="D79" s="9" t="s">
        <v>173</v>
      </c>
      <c r="E79" s="9" t="s">
        <v>173</v>
      </c>
      <c r="F79" s="9" t="s">
        <v>174</v>
      </c>
      <c r="G79" s="9" t="s">
        <v>218</v>
      </c>
      <c r="H79" s="10" t="s">
        <v>176</v>
      </c>
      <c r="I79" s="10"/>
    </row>
    <row r="80" customFormat="false" ht="68.65" hidden="false" customHeight="false" outlineLevel="0" collapsed="false">
      <c r="A80" s="9" t="n">
        <v>33043</v>
      </c>
      <c r="B80" s="9" t="s">
        <v>219</v>
      </c>
      <c r="C80" s="9" t="s">
        <v>4</v>
      </c>
      <c r="D80" s="9" t="s">
        <v>173</v>
      </c>
      <c r="E80" s="9" t="s">
        <v>173</v>
      </c>
      <c r="F80" s="9" t="s">
        <v>220</v>
      </c>
      <c r="G80" s="9" t="s">
        <v>221</v>
      </c>
      <c r="H80" s="10" t="s">
        <v>176</v>
      </c>
      <c r="I80" s="10"/>
    </row>
    <row r="81" customFormat="false" ht="68.65" hidden="false" customHeight="false" outlineLevel="0" collapsed="false">
      <c r="A81" s="9" t="n">
        <v>33094</v>
      </c>
      <c r="B81" s="9" t="s">
        <v>222</v>
      </c>
      <c r="C81" s="9" t="s">
        <v>4</v>
      </c>
      <c r="D81" s="9" t="s">
        <v>173</v>
      </c>
      <c r="E81" s="9" t="s">
        <v>173</v>
      </c>
      <c r="F81" s="9" t="s">
        <v>223</v>
      </c>
      <c r="G81" s="9" t="s">
        <v>224</v>
      </c>
      <c r="H81" s="10" t="s">
        <v>176</v>
      </c>
      <c r="I81" s="10"/>
    </row>
    <row r="82" customFormat="false" ht="35.05" hidden="false" customHeight="false" outlineLevel="0" collapsed="false">
      <c r="A82" s="9" t="n">
        <v>33132</v>
      </c>
      <c r="B82" s="9" t="s">
        <v>225</v>
      </c>
      <c r="C82" s="9" t="s">
        <v>4</v>
      </c>
      <c r="D82" s="9" t="s">
        <v>173</v>
      </c>
      <c r="E82" s="9" t="s">
        <v>173</v>
      </c>
      <c r="F82" s="9" t="s">
        <v>226</v>
      </c>
      <c r="G82" s="9" t="s">
        <v>227</v>
      </c>
      <c r="H82" s="10" t="s">
        <v>176</v>
      </c>
      <c r="I82" s="10"/>
    </row>
    <row r="83" customFormat="false" ht="57.45" hidden="false" customHeight="false" outlineLevel="0" collapsed="false">
      <c r="A83" s="9" t="n">
        <v>33134</v>
      </c>
      <c r="B83" s="9" t="s">
        <v>228</v>
      </c>
      <c r="C83" s="9" t="s">
        <v>4</v>
      </c>
      <c r="D83" s="9" t="s">
        <v>173</v>
      </c>
      <c r="E83" s="9" t="s">
        <v>173</v>
      </c>
      <c r="F83" s="9" t="s">
        <v>229</v>
      </c>
      <c r="G83" s="9" t="s">
        <v>230</v>
      </c>
      <c r="H83" s="10" t="s">
        <v>176</v>
      </c>
      <c r="I83" s="10"/>
    </row>
    <row r="84" customFormat="false" ht="23.85" hidden="false" customHeight="false" outlineLevel="0" collapsed="false">
      <c r="A84" s="9" t="n">
        <v>33136</v>
      </c>
      <c r="B84" s="9" t="s">
        <v>231</v>
      </c>
      <c r="C84" s="9" t="s">
        <v>4</v>
      </c>
      <c r="D84" s="9" t="s">
        <v>173</v>
      </c>
      <c r="E84" s="9" t="s">
        <v>173</v>
      </c>
      <c r="F84" s="9" t="s">
        <v>229</v>
      </c>
      <c r="G84" s="9" t="s">
        <v>232</v>
      </c>
      <c r="H84" s="10" t="s">
        <v>176</v>
      </c>
      <c r="I84" s="10"/>
    </row>
    <row r="85" customFormat="false" ht="57.45" hidden="false" customHeight="false" outlineLevel="0" collapsed="false">
      <c r="A85" s="9" t="n">
        <v>33137</v>
      </c>
      <c r="B85" s="9" t="s">
        <v>233</v>
      </c>
      <c r="C85" s="9" t="s">
        <v>4</v>
      </c>
      <c r="D85" s="9" t="s">
        <v>173</v>
      </c>
      <c r="E85" s="9" t="s">
        <v>173</v>
      </c>
      <c r="F85" s="9" t="s">
        <v>229</v>
      </c>
      <c r="G85" s="9" t="s">
        <v>234</v>
      </c>
      <c r="H85" s="10" t="s">
        <v>176</v>
      </c>
      <c r="I85" s="10"/>
    </row>
    <row r="86" customFormat="false" ht="57.45" hidden="false" customHeight="false" outlineLevel="0" collapsed="false">
      <c r="A86" s="9" t="n">
        <v>33138</v>
      </c>
      <c r="B86" s="9" t="s">
        <v>235</v>
      </c>
      <c r="C86" s="9" t="s">
        <v>4</v>
      </c>
      <c r="D86" s="9" t="s">
        <v>173</v>
      </c>
      <c r="E86" s="9" t="s">
        <v>173</v>
      </c>
      <c r="F86" s="9" t="s">
        <v>229</v>
      </c>
      <c r="G86" s="9" t="s">
        <v>236</v>
      </c>
      <c r="H86" s="10" t="s">
        <v>176</v>
      </c>
      <c r="I86" s="10"/>
    </row>
    <row r="87" customFormat="false" ht="23.85" hidden="false" customHeight="false" outlineLevel="0" collapsed="false">
      <c r="A87" s="9" t="n">
        <v>33141</v>
      </c>
      <c r="B87" s="9" t="s">
        <v>237</v>
      </c>
      <c r="C87" s="9" t="s">
        <v>4</v>
      </c>
      <c r="D87" s="9" t="s">
        <v>173</v>
      </c>
      <c r="E87" s="9" t="s">
        <v>173</v>
      </c>
      <c r="F87" s="9" t="s">
        <v>229</v>
      </c>
      <c r="G87" s="9" t="s">
        <v>238</v>
      </c>
      <c r="H87" s="10" t="s">
        <v>176</v>
      </c>
      <c r="I87" s="10"/>
    </row>
    <row r="88" customFormat="false" ht="23.85" hidden="false" customHeight="false" outlineLevel="0" collapsed="false">
      <c r="A88" s="9" t="n">
        <v>33143</v>
      </c>
      <c r="B88" s="9" t="s">
        <v>239</v>
      </c>
      <c r="C88" s="9" t="s">
        <v>4</v>
      </c>
      <c r="D88" s="9" t="s">
        <v>173</v>
      </c>
      <c r="E88" s="9" t="s">
        <v>173</v>
      </c>
      <c r="F88" s="9" t="s">
        <v>229</v>
      </c>
      <c r="G88" s="9" t="s">
        <v>240</v>
      </c>
      <c r="H88" s="10" t="s">
        <v>176</v>
      </c>
      <c r="I88" s="10"/>
    </row>
    <row r="89" customFormat="false" ht="57.45" hidden="false" customHeight="false" outlineLevel="0" collapsed="false">
      <c r="A89" s="9" t="n">
        <v>33145</v>
      </c>
      <c r="B89" s="9" t="s">
        <v>241</v>
      </c>
      <c r="C89" s="9" t="s">
        <v>4</v>
      </c>
      <c r="D89" s="9" t="s">
        <v>173</v>
      </c>
      <c r="E89" s="9" t="s">
        <v>173</v>
      </c>
      <c r="F89" s="9" t="s">
        <v>229</v>
      </c>
      <c r="G89" s="9" t="s">
        <v>242</v>
      </c>
      <c r="H89" s="10" t="s">
        <v>176</v>
      </c>
      <c r="I89" s="10"/>
    </row>
    <row r="90" customFormat="false" ht="35.05" hidden="false" customHeight="false" outlineLevel="0" collapsed="false">
      <c r="A90" s="9" t="n">
        <v>33146</v>
      </c>
      <c r="B90" s="9" t="s">
        <v>243</v>
      </c>
      <c r="C90" s="9" t="s">
        <v>4</v>
      </c>
      <c r="D90" s="9" t="s">
        <v>173</v>
      </c>
      <c r="E90" s="9" t="s">
        <v>173</v>
      </c>
      <c r="F90" s="9" t="s">
        <v>229</v>
      </c>
      <c r="G90" s="9" t="s">
        <v>244</v>
      </c>
      <c r="H90" s="10" t="s">
        <v>176</v>
      </c>
      <c r="I90" s="10"/>
    </row>
    <row r="91" customFormat="false" ht="35.05" hidden="false" customHeight="false" outlineLevel="0" collapsed="false">
      <c r="A91" s="9" t="n">
        <v>33147</v>
      </c>
      <c r="B91" s="9" t="s">
        <v>245</v>
      </c>
      <c r="C91" s="9" t="s">
        <v>4</v>
      </c>
      <c r="D91" s="9" t="s">
        <v>173</v>
      </c>
      <c r="E91" s="9" t="s">
        <v>173</v>
      </c>
      <c r="F91" s="9" t="s">
        <v>229</v>
      </c>
      <c r="G91" s="9" t="s">
        <v>246</v>
      </c>
      <c r="H91" s="10" t="s">
        <v>176</v>
      </c>
      <c r="I91" s="10"/>
    </row>
    <row r="92" customFormat="false" ht="35.05" hidden="false" customHeight="false" outlineLevel="0" collapsed="false">
      <c r="A92" s="9" t="n">
        <v>33150</v>
      </c>
      <c r="B92" s="9" t="s">
        <v>247</v>
      </c>
      <c r="C92" s="9" t="s">
        <v>4</v>
      </c>
      <c r="D92" s="9" t="s">
        <v>173</v>
      </c>
      <c r="E92" s="9" t="s">
        <v>173</v>
      </c>
      <c r="F92" s="9" t="s">
        <v>229</v>
      </c>
      <c r="G92" s="9" t="s">
        <v>248</v>
      </c>
      <c r="H92" s="10" t="s">
        <v>176</v>
      </c>
      <c r="I92" s="10"/>
    </row>
    <row r="93" customFormat="false" ht="35.05" hidden="false" customHeight="false" outlineLevel="0" collapsed="false">
      <c r="A93" s="9" t="n">
        <v>33151</v>
      </c>
      <c r="B93" s="9" t="s">
        <v>249</v>
      </c>
      <c r="C93" s="9" t="s">
        <v>4</v>
      </c>
      <c r="D93" s="9" t="s">
        <v>173</v>
      </c>
      <c r="E93" s="9" t="s">
        <v>173</v>
      </c>
      <c r="F93" s="9" t="s">
        <v>229</v>
      </c>
      <c r="G93" s="9" t="s">
        <v>250</v>
      </c>
      <c r="H93" s="10" t="s">
        <v>176</v>
      </c>
      <c r="I93" s="10"/>
    </row>
    <row r="94" customFormat="false" ht="57.45" hidden="false" customHeight="false" outlineLevel="0" collapsed="false">
      <c r="A94" s="9" t="n">
        <v>33181</v>
      </c>
      <c r="B94" s="9" t="s">
        <v>251</v>
      </c>
      <c r="C94" s="9" t="s">
        <v>4</v>
      </c>
      <c r="D94" s="9" t="s">
        <v>173</v>
      </c>
      <c r="E94" s="9" t="s">
        <v>173</v>
      </c>
      <c r="F94" s="9" t="s">
        <v>252</v>
      </c>
      <c r="G94" s="9" t="s">
        <v>253</v>
      </c>
      <c r="H94" s="10" t="s">
        <v>176</v>
      </c>
      <c r="I94" s="10"/>
    </row>
    <row r="95" customFormat="false" ht="57.45" hidden="false" customHeight="false" outlineLevel="0" collapsed="false">
      <c r="A95" s="9" t="n">
        <v>33188</v>
      </c>
      <c r="B95" s="9" t="s">
        <v>254</v>
      </c>
      <c r="C95" s="9" t="s">
        <v>4</v>
      </c>
      <c r="D95" s="9" t="s">
        <v>173</v>
      </c>
      <c r="E95" s="9" t="s">
        <v>173</v>
      </c>
      <c r="F95" s="9" t="s">
        <v>255</v>
      </c>
      <c r="G95" s="9" t="s">
        <v>256</v>
      </c>
      <c r="H95" s="10" t="s">
        <v>176</v>
      </c>
      <c r="I95" s="10"/>
    </row>
    <row r="96" customFormat="false" ht="57.45" hidden="false" customHeight="false" outlineLevel="0" collapsed="false">
      <c r="A96" s="9" t="n">
        <v>33202</v>
      </c>
      <c r="B96" s="9" t="s">
        <v>257</v>
      </c>
      <c r="C96" s="9" t="s">
        <v>4</v>
      </c>
      <c r="D96" s="9" t="s">
        <v>173</v>
      </c>
      <c r="E96" s="9" t="s">
        <v>173</v>
      </c>
      <c r="F96" s="9" t="s">
        <v>258</v>
      </c>
      <c r="G96" s="9" t="s">
        <v>259</v>
      </c>
      <c r="H96" s="10" t="s">
        <v>176</v>
      </c>
      <c r="I96" s="10"/>
    </row>
    <row r="97" customFormat="false" ht="57.45" hidden="false" customHeight="false" outlineLevel="0" collapsed="false">
      <c r="A97" s="9" t="n">
        <v>33203</v>
      </c>
      <c r="B97" s="9" t="s">
        <v>260</v>
      </c>
      <c r="C97" s="9" t="s">
        <v>4</v>
      </c>
      <c r="D97" s="9" t="s">
        <v>173</v>
      </c>
      <c r="E97" s="9" t="s">
        <v>173</v>
      </c>
      <c r="F97" s="9" t="s">
        <v>258</v>
      </c>
      <c r="G97" s="9" t="s">
        <v>261</v>
      </c>
      <c r="H97" s="10" t="s">
        <v>176</v>
      </c>
      <c r="I97" s="10"/>
    </row>
    <row r="98" customFormat="false" ht="68.65" hidden="false" customHeight="false" outlineLevel="0" collapsed="false">
      <c r="A98" s="9" t="n">
        <v>33205</v>
      </c>
      <c r="B98" s="9" t="s">
        <v>262</v>
      </c>
      <c r="C98" s="9" t="s">
        <v>4</v>
      </c>
      <c r="D98" s="9" t="s">
        <v>173</v>
      </c>
      <c r="E98" s="9" t="s">
        <v>173</v>
      </c>
      <c r="F98" s="9" t="s">
        <v>263</v>
      </c>
      <c r="G98" s="9" t="s">
        <v>264</v>
      </c>
      <c r="H98" s="10" t="s">
        <v>176</v>
      </c>
      <c r="I98" s="10"/>
    </row>
    <row r="99" customFormat="false" ht="35.05" hidden="false" customHeight="false" outlineLevel="0" collapsed="false">
      <c r="A99" s="9" t="n">
        <v>33216</v>
      </c>
      <c r="B99" s="9" t="s">
        <v>265</v>
      </c>
      <c r="C99" s="9" t="s">
        <v>4</v>
      </c>
      <c r="D99" s="9" t="s">
        <v>173</v>
      </c>
      <c r="E99" s="9" t="s">
        <v>173</v>
      </c>
      <c r="F99" s="9" t="s">
        <v>266</v>
      </c>
      <c r="G99" s="9" t="s">
        <v>267</v>
      </c>
      <c r="H99" s="10" t="s">
        <v>176</v>
      </c>
      <c r="I99" s="10"/>
    </row>
    <row r="100" customFormat="false" ht="35.05" hidden="false" customHeight="false" outlineLevel="0" collapsed="false">
      <c r="A100" s="9" t="n">
        <v>33217</v>
      </c>
      <c r="B100" s="9" t="s">
        <v>268</v>
      </c>
      <c r="C100" s="9" t="s">
        <v>4</v>
      </c>
      <c r="D100" s="9" t="s">
        <v>173</v>
      </c>
      <c r="E100" s="9" t="s">
        <v>173</v>
      </c>
      <c r="F100" s="9" t="s">
        <v>269</v>
      </c>
      <c r="G100" s="9" t="s">
        <v>270</v>
      </c>
      <c r="H100" s="10" t="s">
        <v>176</v>
      </c>
      <c r="I100" s="10"/>
    </row>
    <row r="101" customFormat="false" ht="23.85" hidden="false" customHeight="false" outlineLevel="0" collapsed="false">
      <c r="A101" s="9" t="n">
        <v>33229</v>
      </c>
      <c r="B101" s="9" t="s">
        <v>271</v>
      </c>
      <c r="C101" s="9" t="s">
        <v>4</v>
      </c>
      <c r="D101" s="9" t="s">
        <v>173</v>
      </c>
      <c r="E101" s="9" t="s">
        <v>173</v>
      </c>
      <c r="F101" s="9" t="s">
        <v>272</v>
      </c>
      <c r="G101" s="9" t="s">
        <v>273</v>
      </c>
      <c r="H101" s="10" t="s">
        <v>176</v>
      </c>
      <c r="I101" s="10"/>
    </row>
    <row r="102" customFormat="false" ht="35.05" hidden="false" customHeight="false" outlineLevel="0" collapsed="false">
      <c r="A102" s="9" t="n">
        <v>33231</v>
      </c>
      <c r="B102" s="9" t="s">
        <v>274</v>
      </c>
      <c r="C102" s="9" t="s">
        <v>4</v>
      </c>
      <c r="D102" s="9" t="s">
        <v>173</v>
      </c>
      <c r="E102" s="9" t="s">
        <v>173</v>
      </c>
      <c r="F102" s="9" t="s">
        <v>272</v>
      </c>
      <c r="G102" s="9" t="s">
        <v>275</v>
      </c>
      <c r="H102" s="10" t="s">
        <v>176</v>
      </c>
      <c r="I102" s="10"/>
    </row>
    <row r="103" customFormat="false" ht="46.25" hidden="false" customHeight="false" outlineLevel="0" collapsed="false">
      <c r="A103" s="9" t="n">
        <v>33248</v>
      </c>
      <c r="B103" s="9" t="s">
        <v>276</v>
      </c>
      <c r="C103" s="9" t="s">
        <v>4</v>
      </c>
      <c r="D103" s="9" t="s">
        <v>173</v>
      </c>
      <c r="E103" s="9" t="s">
        <v>173</v>
      </c>
      <c r="F103" s="9" t="s">
        <v>277</v>
      </c>
      <c r="G103" s="9" t="s">
        <v>278</v>
      </c>
      <c r="H103" s="10" t="s">
        <v>176</v>
      </c>
      <c r="I103" s="10"/>
    </row>
    <row r="104" customFormat="false" ht="46.25" hidden="false" customHeight="false" outlineLevel="0" collapsed="false">
      <c r="A104" s="9" t="n">
        <v>33250</v>
      </c>
      <c r="B104" s="9" t="s">
        <v>279</v>
      </c>
      <c r="C104" s="9" t="s">
        <v>4</v>
      </c>
      <c r="D104" s="9" t="s">
        <v>173</v>
      </c>
      <c r="E104" s="9" t="s">
        <v>173</v>
      </c>
      <c r="F104" s="9" t="s">
        <v>280</v>
      </c>
      <c r="G104" s="9" t="s">
        <v>281</v>
      </c>
      <c r="H104" s="10" t="s">
        <v>176</v>
      </c>
      <c r="I104" s="10"/>
    </row>
    <row r="105" customFormat="false" ht="46.25" hidden="false" customHeight="false" outlineLevel="0" collapsed="false">
      <c r="A105" s="9" t="n">
        <v>33251</v>
      </c>
      <c r="B105" s="9" t="s">
        <v>282</v>
      </c>
      <c r="C105" s="9" t="s">
        <v>4</v>
      </c>
      <c r="D105" s="9" t="s">
        <v>173</v>
      </c>
      <c r="E105" s="9" t="s">
        <v>173</v>
      </c>
      <c r="F105" s="9" t="s">
        <v>280</v>
      </c>
      <c r="G105" s="9" t="s">
        <v>283</v>
      </c>
      <c r="H105" s="10" t="s">
        <v>176</v>
      </c>
      <c r="I105" s="10"/>
    </row>
    <row r="106" customFormat="false" ht="57.45" hidden="false" customHeight="false" outlineLevel="0" collapsed="false">
      <c r="A106" s="9" t="n">
        <v>33252</v>
      </c>
      <c r="B106" s="9" t="s">
        <v>284</v>
      </c>
      <c r="C106" s="9" t="s">
        <v>4</v>
      </c>
      <c r="D106" s="9" t="s">
        <v>173</v>
      </c>
      <c r="E106" s="9" t="s">
        <v>173</v>
      </c>
      <c r="F106" s="9" t="s">
        <v>280</v>
      </c>
      <c r="G106" s="9" t="s">
        <v>285</v>
      </c>
      <c r="H106" s="10" t="s">
        <v>176</v>
      </c>
      <c r="I106" s="10"/>
    </row>
    <row r="107" customFormat="false" ht="57.45" hidden="false" customHeight="false" outlineLevel="0" collapsed="false">
      <c r="A107" s="9" t="n">
        <v>33254</v>
      </c>
      <c r="B107" s="9" t="s">
        <v>286</v>
      </c>
      <c r="C107" s="9" t="s">
        <v>4</v>
      </c>
      <c r="D107" s="9" t="s">
        <v>173</v>
      </c>
      <c r="E107" s="9" t="s">
        <v>173</v>
      </c>
      <c r="F107" s="9" t="s">
        <v>287</v>
      </c>
      <c r="G107" s="9" t="s">
        <v>288</v>
      </c>
      <c r="H107" s="10" t="s">
        <v>176</v>
      </c>
      <c r="I107" s="10"/>
    </row>
    <row r="108" customFormat="false" ht="57.45" hidden="false" customHeight="false" outlineLevel="0" collapsed="false">
      <c r="A108" s="9" t="n">
        <v>33257</v>
      </c>
      <c r="B108" s="9" t="s">
        <v>289</v>
      </c>
      <c r="C108" s="9" t="s">
        <v>4</v>
      </c>
      <c r="D108" s="9" t="s">
        <v>173</v>
      </c>
      <c r="E108" s="9" t="s">
        <v>173</v>
      </c>
      <c r="F108" s="9" t="s">
        <v>290</v>
      </c>
      <c r="G108" s="9" t="s">
        <v>291</v>
      </c>
      <c r="H108" s="10" t="s">
        <v>176</v>
      </c>
      <c r="I108" s="10"/>
    </row>
    <row r="109" customFormat="false" ht="68.65" hidden="false" customHeight="false" outlineLevel="0" collapsed="false">
      <c r="A109" s="9" t="n">
        <v>33266</v>
      </c>
      <c r="B109" s="9" t="s">
        <v>292</v>
      </c>
      <c r="C109" s="9" t="s">
        <v>4</v>
      </c>
      <c r="D109" s="9" t="s">
        <v>173</v>
      </c>
      <c r="E109" s="9" t="s">
        <v>173</v>
      </c>
      <c r="F109" s="9" t="s">
        <v>293</v>
      </c>
      <c r="G109" s="9" t="s">
        <v>294</v>
      </c>
      <c r="H109" s="10" t="s">
        <v>176</v>
      </c>
      <c r="I109" s="10"/>
    </row>
    <row r="110" customFormat="false" ht="57.45" hidden="false" customHeight="false" outlineLevel="0" collapsed="false">
      <c r="A110" s="9" t="n">
        <v>33267</v>
      </c>
      <c r="B110" s="9" t="s">
        <v>295</v>
      </c>
      <c r="C110" s="9" t="s">
        <v>4</v>
      </c>
      <c r="D110" s="9" t="s">
        <v>173</v>
      </c>
      <c r="E110" s="9" t="s">
        <v>173</v>
      </c>
      <c r="F110" s="9" t="s">
        <v>296</v>
      </c>
      <c r="G110" s="9" t="s">
        <v>297</v>
      </c>
      <c r="H110" s="10" t="s">
        <v>176</v>
      </c>
      <c r="I110" s="10"/>
    </row>
    <row r="111" customFormat="false" ht="57.45" hidden="false" customHeight="false" outlineLevel="0" collapsed="false">
      <c r="A111" s="9" t="n">
        <v>33268</v>
      </c>
      <c r="B111" s="9" t="s">
        <v>298</v>
      </c>
      <c r="C111" s="9" t="s">
        <v>4</v>
      </c>
      <c r="D111" s="9" t="s">
        <v>173</v>
      </c>
      <c r="E111" s="9" t="s">
        <v>173</v>
      </c>
      <c r="F111" s="9" t="s">
        <v>296</v>
      </c>
      <c r="G111" s="9" t="s">
        <v>299</v>
      </c>
      <c r="H111" s="10" t="s">
        <v>176</v>
      </c>
      <c r="I111" s="10"/>
    </row>
    <row r="112" customFormat="false" ht="57.45" hidden="false" customHeight="false" outlineLevel="0" collapsed="false">
      <c r="A112" s="9" t="n">
        <v>33269</v>
      </c>
      <c r="B112" s="9" t="s">
        <v>300</v>
      </c>
      <c r="C112" s="9" t="s">
        <v>4</v>
      </c>
      <c r="D112" s="9" t="s">
        <v>173</v>
      </c>
      <c r="E112" s="9" t="s">
        <v>173</v>
      </c>
      <c r="F112" s="9" t="s">
        <v>296</v>
      </c>
      <c r="G112" s="9" t="s">
        <v>301</v>
      </c>
      <c r="H112" s="10" t="s">
        <v>176</v>
      </c>
      <c r="I112" s="10"/>
    </row>
    <row r="113" customFormat="false" ht="57.45" hidden="false" customHeight="false" outlineLevel="0" collapsed="false">
      <c r="A113" s="9" t="n">
        <v>33270</v>
      </c>
      <c r="B113" s="9" t="s">
        <v>302</v>
      </c>
      <c r="C113" s="9" t="s">
        <v>4</v>
      </c>
      <c r="D113" s="9" t="s">
        <v>173</v>
      </c>
      <c r="E113" s="9" t="s">
        <v>173</v>
      </c>
      <c r="F113" s="9" t="s">
        <v>296</v>
      </c>
      <c r="G113" s="9" t="s">
        <v>303</v>
      </c>
      <c r="H113" s="10" t="s">
        <v>176</v>
      </c>
      <c r="I113" s="10"/>
    </row>
    <row r="114" customFormat="false" ht="57.45" hidden="false" customHeight="false" outlineLevel="0" collapsed="false">
      <c r="A114" s="9" t="n">
        <v>33272</v>
      </c>
      <c r="B114" s="9" t="s">
        <v>304</v>
      </c>
      <c r="C114" s="9" t="s">
        <v>4</v>
      </c>
      <c r="D114" s="9" t="s">
        <v>173</v>
      </c>
      <c r="E114" s="9" t="s">
        <v>173</v>
      </c>
      <c r="F114" s="9" t="s">
        <v>305</v>
      </c>
      <c r="G114" s="9" t="s">
        <v>306</v>
      </c>
      <c r="H114" s="10" t="s">
        <v>176</v>
      </c>
      <c r="I114" s="10"/>
    </row>
    <row r="115" customFormat="false" ht="57.45" hidden="false" customHeight="false" outlineLevel="0" collapsed="false">
      <c r="A115" s="9" t="n">
        <v>33284</v>
      </c>
      <c r="B115" s="9" t="s">
        <v>307</v>
      </c>
      <c r="C115" s="9" t="s">
        <v>4</v>
      </c>
      <c r="D115" s="9" t="s">
        <v>173</v>
      </c>
      <c r="E115" s="9" t="s">
        <v>173</v>
      </c>
      <c r="F115" s="9" t="s">
        <v>308</v>
      </c>
      <c r="G115" s="9" t="s">
        <v>309</v>
      </c>
      <c r="H115" s="10" t="s">
        <v>176</v>
      </c>
      <c r="I115" s="10"/>
    </row>
    <row r="116" customFormat="false" ht="46.25" hidden="false" customHeight="false" outlineLevel="0" collapsed="false">
      <c r="A116" s="9" t="n">
        <v>33285</v>
      </c>
      <c r="B116" s="9" t="s">
        <v>310</v>
      </c>
      <c r="C116" s="9" t="s">
        <v>4</v>
      </c>
      <c r="D116" s="9" t="s">
        <v>173</v>
      </c>
      <c r="E116" s="9" t="s">
        <v>173</v>
      </c>
      <c r="F116" s="9" t="s">
        <v>308</v>
      </c>
      <c r="G116" s="9" t="s">
        <v>311</v>
      </c>
      <c r="H116" s="10" t="s">
        <v>176</v>
      </c>
      <c r="I116" s="10"/>
    </row>
    <row r="117" customFormat="false" ht="46.25" hidden="false" customHeight="false" outlineLevel="0" collapsed="false">
      <c r="A117" s="9" t="n">
        <v>33300</v>
      </c>
      <c r="B117" s="9" t="s">
        <v>312</v>
      </c>
      <c r="C117" s="9" t="s">
        <v>4</v>
      </c>
      <c r="D117" s="9" t="s">
        <v>173</v>
      </c>
      <c r="E117" s="9" t="s">
        <v>173</v>
      </c>
      <c r="F117" s="9" t="s">
        <v>313</v>
      </c>
      <c r="G117" s="9" t="s">
        <v>314</v>
      </c>
      <c r="H117" s="10" t="s">
        <v>176</v>
      </c>
      <c r="I117" s="10"/>
    </row>
  </sheetData>
  <autoFilter ref="A4:I117"/>
  <conditionalFormatting sqref="C5:C117">
    <cfRule type="cellIs" priority="2" operator="equal" aboveAverage="0" equalAverage="0" bottom="0" percent="0" rank="0" text="" dxfId="8">
      <formula>"Fix"</formula>
    </cfRule>
    <cfRule type="cellIs" priority="3" operator="equal" aboveAverage="0" equalAverage="0" bottom="0" percent="0" rank="0" text="" dxfId="9">
      <formula>"Accept risk"</formula>
    </cfRule>
    <cfRule type="cellIs" priority="4" operator="equal" aboveAverage="0" equalAverage="0" bottom="0" percent="0" rank="0" text="" dxfId="10">
      <formula>"Investigate"</formula>
    </cfRule>
  </conditionalFormatting>
  <conditionalFormatting sqref="E5:E117">
    <cfRule type="cellIs" priority="5" operator="equal" aboveAverage="0" equalAverage="0" bottom="0" percent="0" rank="0" text="" dxfId="11">
      <formula>"High"</formula>
    </cfRule>
  </conditionalFormatting>
  <dataValidations count="1">
    <dataValidation allowBlank="true" errorStyle="stop" operator="between" showDropDown="false" showErrorMessage="false" showInputMessage="false" sqref="H5:H117" type="list">
      <formula1>"Not started,In progress,Done,Documented,Blocked"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2026-10-14T08:09:06Z</dcterms:created>
  <dc:creator>openpyxl</dc:creator>
  <dc:description/>
  <dc:language>en-US</dc:language>
  <cp:lastModifiedBy/>
  <dcterms:modified xsi:type="dcterms:W3CDTF">2026-10-14T08:09:06Z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